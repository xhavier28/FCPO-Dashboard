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Code\Raw Data\Stock and Production\"/>
    </mc:Choice>
  </mc:AlternateContent>
  <xr:revisionPtr revIDLastSave="0" documentId="8_{F1A50277-95B1-4919-B18A-4785E4D22379}" xr6:coauthVersionLast="47" xr6:coauthVersionMax="47" xr10:uidLastSave="{00000000-0000-0000-0000-000000000000}"/>
  <bookViews>
    <workbookView xWindow="38280" yWindow="-120" windowWidth="38640" windowHeight="21120" xr2:uid="{8C6748E2-DA00-4BCA-B912-E3C9B0025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2" i="1"/>
  <c r="E2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<sst xmlns="http://schemas.openxmlformats.org/spreadsheetml/2006/main" count="11" uniqueCount="11">
  <si>
    <t>STOCK</t>
  </si>
  <si>
    <t>EXPORTS</t>
  </si>
  <si>
    <t>%CHG - Stock</t>
  </si>
  <si>
    <t>%CHG -Exports</t>
  </si>
  <si>
    <t>%CHG - Production</t>
  </si>
  <si>
    <t>Delta Stock</t>
  </si>
  <si>
    <t>Consumption</t>
  </si>
  <si>
    <t>%CHG - Consumption</t>
  </si>
  <si>
    <t>PRODUCTION</t>
  </si>
  <si>
    <t>Average Price</t>
  </si>
  <si>
    <t>%CHG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</si>
</sst>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dd/m/yyyy;@"/>
    <numFmt numFmtId="169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2" fillId="0" borderId="0" xfId="3"/>
    <xf numFmtId="168" fontId="2" fillId="0" borderId="0" xfId="3" applyNumberFormat="1"/>
    <xf numFmtId="0" fontId="2" fillId="0" borderId="0" xfId="3"/>
    <xf numFmtId="0" fontId="2" fillId="0" borderId="0" xfId="3"/>
    <xf numFmtId="169" fontId="2" fillId="0" borderId="0" xfId="2" applyNumberFormat="1" applyFont="1"/>
    <xf numFmtId="43" fontId="0" fillId="0" borderId="0" xfId="1" applyFont="1"/>
    <xf numFmtId="43" fontId="0" fillId="0" borderId="0" xfId="0" applyNumberFormat="1"/>
  </cellXfs>
  <cellStyles count="4">
    <cellStyle name="Comma" xfId="1" builtinId="3"/>
    <cellStyle name="Normal" xfId="0" builtinId="0"/>
    <cellStyle name="Normal 2" xfId="3" xr:uid="{6CCB61C7-AF18-4262-9F80-22CAB266AD7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AFBE-238E-4874-ADE5-85219E1B82E9}">
  <dimension ref="A1:L38"/>
  <sheetViews>
    <sheetView tabSelected="1" workbookViewId="0">
      <selection activeCell="L2" sqref="L2"/>
    </sheetView>
  </sheetViews>
  <sheetFormatPr defaultRowHeight="15" x14ac:dyDescent="0.25"/>
  <cols>
    <col min="1" max="1" width="11.5703125" bestFit="1" customWidth="1"/>
    <col min="5" max="5" width="14" bestFit="1" customWidth="1"/>
    <col min="7" max="7" width="17.85546875" bestFit="1" customWidth="1"/>
    <col min="8" max="8" width="18.28515625" customWidth="1"/>
    <col min="9" max="9" width="32.7109375" customWidth="1"/>
    <col min="10" max="10" width="20.28515625" customWidth="1"/>
  </cols>
  <sheetData>
    <row r="1" spans="1:12" ht="14.25" customHeight="1" x14ac:dyDescent="0.25">
      <c r="B1" t="s">
        <v>0</v>
      </c>
      <c r="C1" t="s">
        <v>2</v>
      </c>
      <c r="D1" t="s">
        <v>1</v>
      </c>
      <c r="E1" t="s">
        <v>3</v>
      </c>
      <c r="F1" t="s">
        <v>8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10</v>
      </c>
    </row>
    <row r="2" spans="1:12" ht="15.75" x14ac:dyDescent="0.25">
      <c r="A2" s="2">
        <v>46023</v>
      </c>
      <c r="B2" s="1">
        <v>2815493</v>
      </c>
      <c r="C2" s="5">
        <f>B2/B3-1</f>
        <v>-7.7234561297767734E-2</v>
      </c>
      <c r="D2" s="3">
        <v>1484267</v>
      </c>
      <c r="E2" s="5">
        <f>D2/D3-1</f>
        <v>0.11440324830654691</v>
      </c>
      <c r="F2" s="4">
        <v>1577454</v>
      </c>
      <c r="G2" s="5">
        <f>F2/F3-1</f>
        <v>-0.13779078887747742</v>
      </c>
      <c r="H2" s="6">
        <f>B2-B3</f>
        <v>-235654</v>
      </c>
      <c r="I2" s="7">
        <f>F2-H2-D2</f>
        <v>328841</v>
      </c>
      <c r="J2" s="5">
        <f>I2/I3-1</f>
        <v>0.16574732528377867</v>
      </c>
    </row>
    <row r="3" spans="1:12" ht="15.75" x14ac:dyDescent="0.25">
      <c r="A3" s="2">
        <v>45992</v>
      </c>
      <c r="B3" s="1">
        <v>3051147</v>
      </c>
      <c r="C3" s="5">
        <f t="shared" ref="C3:C37" si="0">B3/B4-1</f>
        <v>7.6022948407696855E-2</v>
      </c>
      <c r="D3" s="3">
        <v>1331894</v>
      </c>
      <c r="E3" s="5">
        <f t="shared" ref="E3:E37" si="1">D3/D4-1</f>
        <v>9.7898823703972404E-2</v>
      </c>
      <c r="F3" s="4">
        <v>1829549</v>
      </c>
      <c r="G3" s="5">
        <f t="shared" ref="G3:G37" si="2">F3/F4-1</f>
        <v>-5.4745777598669054E-2</v>
      </c>
      <c r="H3" s="6">
        <f t="shared" ref="H3:H38" si="3">B3-B4</f>
        <v>215569</v>
      </c>
      <c r="I3" s="7">
        <f t="shared" ref="I3:I38" si="4">F3-H3-D3</f>
        <v>282086</v>
      </c>
      <c r="J3" s="5">
        <f t="shared" ref="J3:J37" si="5">I3/I4-1</f>
        <v>-0.28621602336044216</v>
      </c>
    </row>
    <row r="4" spans="1:12" ht="15.75" x14ac:dyDescent="0.25">
      <c r="A4" s="2">
        <v>45962</v>
      </c>
      <c r="B4" s="1">
        <v>2835578</v>
      </c>
      <c r="C4" s="5">
        <f t="shared" si="0"/>
        <v>0.13043474794250987</v>
      </c>
      <c r="D4" s="3">
        <v>1213130</v>
      </c>
      <c r="E4" s="5">
        <f t="shared" si="1"/>
        <v>-0.2811060180919055</v>
      </c>
      <c r="F4" s="4">
        <v>1935510</v>
      </c>
      <c r="G4" s="5">
        <f t="shared" si="2"/>
        <v>-5.3024483753007723E-2</v>
      </c>
      <c r="H4" s="6">
        <f t="shared" si="3"/>
        <v>327182</v>
      </c>
      <c r="I4" s="7">
        <f t="shared" si="4"/>
        <v>395198</v>
      </c>
      <c r="J4" s="5">
        <f t="shared" si="5"/>
        <v>0.90395390404062304</v>
      </c>
    </row>
    <row r="5" spans="1:12" ht="15.75" x14ac:dyDescent="0.25">
      <c r="A5" s="2">
        <v>45931</v>
      </c>
      <c r="B5" s="1">
        <v>2508396</v>
      </c>
      <c r="C5" s="5">
        <f t="shared" si="0"/>
        <v>6.3072455513118575E-2</v>
      </c>
      <c r="D5" s="3">
        <v>1687495</v>
      </c>
      <c r="E5" s="5">
        <f t="shared" si="1"/>
        <v>0.1820428422628324</v>
      </c>
      <c r="F5" s="4">
        <v>2043886</v>
      </c>
      <c r="G5" s="5">
        <f t="shared" si="2"/>
        <v>0.11021448867262751</v>
      </c>
      <c r="H5" s="6">
        <f t="shared" si="3"/>
        <v>148824</v>
      </c>
      <c r="I5" s="7">
        <f t="shared" si="4"/>
        <v>207567</v>
      </c>
      <c r="J5" s="5">
        <f t="shared" si="5"/>
        <v>-0.18987178736607924</v>
      </c>
    </row>
    <row r="6" spans="1:12" ht="15.75" x14ac:dyDescent="0.25">
      <c r="A6" s="2">
        <v>45901</v>
      </c>
      <c r="B6" s="1">
        <v>2359572</v>
      </c>
      <c r="C6" s="5">
        <f t="shared" si="0"/>
        <v>7.1357642730950133E-2</v>
      </c>
      <c r="D6" s="3">
        <v>1427609</v>
      </c>
      <c r="E6" s="5">
        <f t="shared" si="1"/>
        <v>7.689458629283874E-2</v>
      </c>
      <c r="F6" s="4">
        <v>1840983</v>
      </c>
      <c r="G6" s="5">
        <f t="shared" si="2"/>
        <v>-7.4311260827510939E-3</v>
      </c>
      <c r="H6" s="6">
        <f t="shared" si="3"/>
        <v>157159</v>
      </c>
      <c r="I6" s="7">
        <f t="shared" si="4"/>
        <v>256215</v>
      </c>
      <c r="J6" s="5">
        <f t="shared" si="5"/>
        <v>-0.41870516328391938</v>
      </c>
    </row>
    <row r="7" spans="1:12" ht="15.75" x14ac:dyDescent="0.25">
      <c r="A7" s="2">
        <v>45870</v>
      </c>
      <c r="B7" s="1">
        <v>2202413</v>
      </c>
      <c r="C7" s="5">
        <f t="shared" si="0"/>
        <v>4.178072310242964E-2</v>
      </c>
      <c r="D7" s="3">
        <v>1325672</v>
      </c>
      <c r="E7" s="5">
        <f t="shared" si="1"/>
        <v>-2.1640182846373035E-3</v>
      </c>
      <c r="F7" s="4">
        <v>1854766</v>
      </c>
      <c r="G7" s="5">
        <f t="shared" si="2"/>
        <v>2.3366035520523187E-2</v>
      </c>
      <c r="H7" s="6">
        <f t="shared" si="3"/>
        <v>88328</v>
      </c>
      <c r="I7" s="7">
        <f t="shared" si="4"/>
        <v>440766</v>
      </c>
      <c r="J7" s="5">
        <f t="shared" si="5"/>
        <v>9.8222227759159786E-2</v>
      </c>
    </row>
    <row r="8" spans="1:12" ht="15.75" x14ac:dyDescent="0.25">
      <c r="A8" s="2">
        <v>45839</v>
      </c>
      <c r="B8" s="1">
        <v>2114085</v>
      </c>
      <c r="C8" s="5">
        <f t="shared" si="0"/>
        <v>4.0621492842938478E-2</v>
      </c>
      <c r="D8" s="3">
        <v>1328547</v>
      </c>
      <c r="E8" s="5">
        <f t="shared" si="1"/>
        <v>5.3624705574456977E-2</v>
      </c>
      <c r="F8" s="4">
        <v>1812417</v>
      </c>
      <c r="G8" s="5">
        <f t="shared" si="2"/>
        <v>7.0934251966177531E-2</v>
      </c>
      <c r="H8" s="6">
        <f t="shared" si="3"/>
        <v>82525</v>
      </c>
      <c r="I8" s="7">
        <f t="shared" si="4"/>
        <v>401345</v>
      </c>
      <c r="J8" s="5">
        <f t="shared" si="5"/>
        <v>4.8886809760636085E-2</v>
      </c>
    </row>
    <row r="9" spans="1:12" ht="15.75" x14ac:dyDescent="0.25">
      <c r="A9" s="2">
        <v>45809</v>
      </c>
      <c r="B9" s="1">
        <v>2031560</v>
      </c>
      <c r="C9" s="5">
        <f t="shared" si="0"/>
        <v>2.4612673552358189E-2</v>
      </c>
      <c r="D9" s="3">
        <v>1260930</v>
      </c>
      <c r="E9" s="5">
        <f t="shared" si="1"/>
        <v>-0.10407833958950152</v>
      </c>
      <c r="F9" s="4">
        <v>1692370</v>
      </c>
      <c r="G9" s="5">
        <f t="shared" si="2"/>
        <v>-4.4733608373348499E-2</v>
      </c>
      <c r="H9" s="6">
        <f t="shared" si="3"/>
        <v>48801</v>
      </c>
      <c r="I9" s="7">
        <f t="shared" si="4"/>
        <v>382639</v>
      </c>
      <c r="J9" s="5">
        <f t="shared" si="5"/>
        <v>0.54554781379379991</v>
      </c>
    </row>
    <row r="10" spans="1:12" ht="15.75" x14ac:dyDescent="0.25">
      <c r="A10" s="2">
        <v>45778</v>
      </c>
      <c r="B10" s="1">
        <v>1982759</v>
      </c>
      <c r="C10" s="5">
        <f t="shared" si="0"/>
        <v>6.2501205707659269E-2</v>
      </c>
      <c r="D10" s="3">
        <v>1407411</v>
      </c>
      <c r="E10" s="5">
        <f t="shared" si="1"/>
        <v>0.27444439313141955</v>
      </c>
      <c r="F10" s="4">
        <v>1771621</v>
      </c>
      <c r="G10" s="5">
        <f t="shared" si="2"/>
        <v>5.0547356199288629E-2</v>
      </c>
      <c r="H10" s="6">
        <f t="shared" si="3"/>
        <v>116635</v>
      </c>
      <c r="I10" s="7">
        <f t="shared" si="4"/>
        <v>247575</v>
      </c>
      <c r="J10" s="5">
        <f t="shared" si="5"/>
        <v>-0.11180351511629161</v>
      </c>
    </row>
    <row r="11" spans="1:12" ht="15.75" x14ac:dyDescent="0.25">
      <c r="A11" s="2">
        <v>45748</v>
      </c>
      <c r="B11" s="1">
        <v>1866124</v>
      </c>
      <c r="C11" s="5">
        <f t="shared" si="0"/>
        <v>0.19407710563680847</v>
      </c>
      <c r="D11" s="3">
        <v>1104333</v>
      </c>
      <c r="E11" s="5">
        <f t="shared" si="1"/>
        <v>9.8241056857610864E-2</v>
      </c>
      <c r="F11" s="4">
        <v>1686379</v>
      </c>
      <c r="G11" s="5">
        <f t="shared" si="2"/>
        <v>0.21546873321988635</v>
      </c>
      <c r="H11" s="6">
        <f t="shared" si="3"/>
        <v>303307</v>
      </c>
      <c r="I11" s="7">
        <f t="shared" si="4"/>
        <v>278739</v>
      </c>
      <c r="J11" s="5">
        <f t="shared" si="5"/>
        <v>-0.15171702293421629</v>
      </c>
    </row>
    <row r="12" spans="1:12" ht="15.75" x14ac:dyDescent="0.25">
      <c r="A12" s="2">
        <v>45717</v>
      </c>
      <c r="B12" s="1">
        <v>1562817</v>
      </c>
      <c r="C12" s="5">
        <f t="shared" si="0"/>
        <v>3.530382073831162E-2</v>
      </c>
      <c r="D12" s="3">
        <v>1005547</v>
      </c>
      <c r="E12" s="5">
        <f t="shared" si="1"/>
        <v>9.1192822591976697E-3</v>
      </c>
      <c r="F12" s="4">
        <v>1387431</v>
      </c>
      <c r="G12" s="5">
        <f t="shared" si="2"/>
        <v>0.16784270417641323</v>
      </c>
      <c r="H12" s="6">
        <f t="shared" si="3"/>
        <v>53292</v>
      </c>
      <c r="I12" s="7">
        <f t="shared" si="4"/>
        <v>328592</v>
      </c>
      <c r="J12" s="5">
        <f t="shared" si="5"/>
        <v>0.25275261536584614</v>
      </c>
    </row>
    <row r="13" spans="1:12" ht="15.75" x14ac:dyDescent="0.25">
      <c r="A13" s="2">
        <v>45689</v>
      </c>
      <c r="B13" s="1">
        <v>1509525</v>
      </c>
      <c r="C13" s="5">
        <f t="shared" si="0"/>
        <v>-4.475678562659624E-2</v>
      </c>
      <c r="D13" s="3">
        <v>996460</v>
      </c>
      <c r="E13" s="5">
        <f t="shared" si="1"/>
        <v>-0.16743047786312226</v>
      </c>
      <c r="F13" s="4">
        <v>1188029</v>
      </c>
      <c r="G13" s="5">
        <f t="shared" si="2"/>
        <v>-4.1560411279945475E-2</v>
      </c>
      <c r="H13" s="6">
        <f t="shared" si="3"/>
        <v>-70727</v>
      </c>
      <c r="I13" s="7">
        <f t="shared" si="4"/>
        <v>262296</v>
      </c>
      <c r="J13" s="5">
        <f t="shared" si="5"/>
        <v>0.53210280373831775</v>
      </c>
    </row>
    <row r="14" spans="1:12" ht="15.75" x14ac:dyDescent="0.25">
      <c r="A14" s="2">
        <v>45658</v>
      </c>
      <c r="B14" s="1">
        <v>1580252</v>
      </c>
      <c r="C14" s="5">
        <f t="shared" si="0"/>
        <v>-7.5203247274625462E-2</v>
      </c>
      <c r="D14" s="3">
        <v>1196849</v>
      </c>
      <c r="E14" s="5">
        <f t="shared" si="1"/>
        <v>-0.10811767476243284</v>
      </c>
      <c r="F14" s="4">
        <v>1239545</v>
      </c>
      <c r="G14" s="5">
        <f t="shared" si="2"/>
        <v>-0.1663797242932139</v>
      </c>
      <c r="H14" s="6">
        <f t="shared" si="3"/>
        <v>-128504</v>
      </c>
      <c r="I14" s="7">
        <f t="shared" si="4"/>
        <v>171200</v>
      </c>
      <c r="J14" s="5">
        <f t="shared" si="5"/>
        <v>-0.37033590666848115</v>
      </c>
    </row>
    <row r="15" spans="1:12" ht="15.75" x14ac:dyDescent="0.25">
      <c r="A15" s="2">
        <v>45627</v>
      </c>
      <c r="B15" s="1">
        <v>1708756</v>
      </c>
      <c r="C15" s="5">
        <f t="shared" si="0"/>
        <v>-6.9122993003533861E-2</v>
      </c>
      <c r="D15" s="3">
        <v>1341936</v>
      </c>
      <c r="E15" s="5">
        <f t="shared" si="1"/>
        <v>-9.9548880656354144E-2</v>
      </c>
      <c r="F15" s="4">
        <v>1486942</v>
      </c>
      <c r="G15" s="5">
        <f t="shared" si="2"/>
        <v>-8.2867141924906851E-2</v>
      </c>
      <c r="H15" s="6">
        <f t="shared" si="3"/>
        <v>-126885</v>
      </c>
      <c r="I15" s="7">
        <f t="shared" si="4"/>
        <v>271891</v>
      </c>
      <c r="J15" s="5">
        <f t="shared" si="5"/>
        <v>0.50596256847399235</v>
      </c>
    </row>
    <row r="16" spans="1:12" ht="15.75" x14ac:dyDescent="0.25">
      <c r="A16" s="2">
        <v>45597</v>
      </c>
      <c r="B16" s="1">
        <v>1835641</v>
      </c>
      <c r="C16" s="5">
        <f t="shared" si="0"/>
        <v>-2.6279676827130283E-2</v>
      </c>
      <c r="D16" s="3">
        <v>1490293</v>
      </c>
      <c r="E16" s="5">
        <f t="shared" si="1"/>
        <v>-0.14560402232458947</v>
      </c>
      <c r="F16" s="4">
        <v>1621294</v>
      </c>
      <c r="G16" s="5">
        <f t="shared" si="2"/>
        <v>-9.7952093862735512E-2</v>
      </c>
      <c r="H16" s="6">
        <f t="shared" si="3"/>
        <v>-49542</v>
      </c>
      <c r="I16" s="7">
        <f t="shared" si="4"/>
        <v>180543</v>
      </c>
      <c r="J16" s="5">
        <f t="shared" si="5"/>
        <v>4.8700937284325008E-3</v>
      </c>
    </row>
    <row r="17" spans="1:10" ht="15.75" x14ac:dyDescent="0.25">
      <c r="A17" s="2">
        <v>45566</v>
      </c>
      <c r="B17" s="1">
        <v>1885183</v>
      </c>
      <c r="C17" s="5">
        <f t="shared" si="0"/>
        <v>-6.2922265390442655E-2</v>
      </c>
      <c r="D17" s="3">
        <v>1744265</v>
      </c>
      <c r="E17" s="5">
        <f t="shared" si="1"/>
        <v>0.11822897901459495</v>
      </c>
      <c r="F17" s="4">
        <v>1797348</v>
      </c>
      <c r="G17" s="5">
        <f t="shared" si="2"/>
        <v>-1.3493910039501955E-2</v>
      </c>
      <c r="H17" s="6">
        <f t="shared" si="3"/>
        <v>-126585</v>
      </c>
      <c r="I17" s="7">
        <f t="shared" si="4"/>
        <v>179668</v>
      </c>
      <c r="J17" s="5">
        <f t="shared" si="5"/>
        <v>0.34434742268812624</v>
      </c>
    </row>
    <row r="18" spans="1:10" ht="15.75" x14ac:dyDescent="0.25">
      <c r="A18" s="2">
        <v>45536</v>
      </c>
      <c r="B18" s="1">
        <v>2011768</v>
      </c>
      <c r="C18" s="5">
        <f t="shared" si="0"/>
        <v>6.8198423216773607E-2</v>
      </c>
      <c r="D18" s="3">
        <v>1559846</v>
      </c>
      <c r="E18" s="5">
        <f t="shared" si="1"/>
        <v>2.0419564682670588E-2</v>
      </c>
      <c r="F18" s="4">
        <v>1821933</v>
      </c>
      <c r="G18" s="5">
        <f t="shared" si="2"/>
        <v>-3.7978540113070669E-2</v>
      </c>
      <c r="H18" s="6">
        <f t="shared" si="3"/>
        <v>128440</v>
      </c>
      <c r="I18" s="7">
        <f t="shared" si="4"/>
        <v>133647</v>
      </c>
      <c r="J18" s="5">
        <f t="shared" si="5"/>
        <v>-0.43437742029684745</v>
      </c>
    </row>
    <row r="19" spans="1:10" ht="15.75" x14ac:dyDescent="0.25">
      <c r="A19" s="2">
        <v>45505</v>
      </c>
      <c r="B19" s="1">
        <v>1883328</v>
      </c>
      <c r="C19" s="5">
        <f t="shared" si="0"/>
        <v>7.3498162317941818E-2</v>
      </c>
      <c r="D19" s="3">
        <v>1528632</v>
      </c>
      <c r="E19" s="5">
        <f t="shared" si="1"/>
        <v>-9.5328784229246399E-2</v>
      </c>
      <c r="F19" s="4">
        <v>1893859</v>
      </c>
      <c r="G19" s="5">
        <f t="shared" si="2"/>
        <v>2.8712671761364383E-2</v>
      </c>
      <c r="H19" s="6">
        <f t="shared" si="3"/>
        <v>128944</v>
      </c>
      <c r="I19" s="7">
        <f t="shared" si="4"/>
        <v>236283</v>
      </c>
      <c r="J19" s="5">
        <f t="shared" si="5"/>
        <v>3.5674836945087218E-2</v>
      </c>
    </row>
    <row r="20" spans="1:10" ht="15.75" x14ac:dyDescent="0.25">
      <c r="A20" s="2">
        <v>45474</v>
      </c>
      <c r="B20" s="1">
        <v>1754384</v>
      </c>
      <c r="C20" s="5">
        <f t="shared" si="0"/>
        <v>-4.1968852782187316E-2</v>
      </c>
      <c r="D20" s="3">
        <v>1689710</v>
      </c>
      <c r="E20" s="5">
        <f t="shared" si="1"/>
        <v>0.39944542634092373</v>
      </c>
      <c r="F20" s="4">
        <v>1840999</v>
      </c>
      <c r="G20" s="5">
        <f t="shared" si="2"/>
        <v>0.13973774255037652</v>
      </c>
      <c r="H20" s="6">
        <f t="shared" si="3"/>
        <v>-76855</v>
      </c>
      <c r="I20" s="7">
        <f t="shared" si="4"/>
        <v>228144</v>
      </c>
      <c r="J20" s="5">
        <f t="shared" si="5"/>
        <v>-0.30832128207227116</v>
      </c>
    </row>
    <row r="21" spans="1:10" ht="15.75" x14ac:dyDescent="0.25">
      <c r="A21" s="2">
        <v>45444</v>
      </c>
      <c r="B21" s="1">
        <v>1831239</v>
      </c>
      <c r="C21" s="5">
        <f t="shared" si="0"/>
        <v>4.4505766847230621E-2</v>
      </c>
      <c r="D21" s="3">
        <v>1207414</v>
      </c>
      <c r="E21" s="5">
        <f t="shared" si="1"/>
        <v>-0.12659963007141772</v>
      </c>
      <c r="F21" s="4">
        <v>1615283</v>
      </c>
      <c r="G21" s="5">
        <f t="shared" si="2"/>
        <v>-5.2339255908641524E-2</v>
      </c>
      <c r="H21" s="6">
        <f t="shared" si="3"/>
        <v>78028</v>
      </c>
      <c r="I21" s="7">
        <f t="shared" si="4"/>
        <v>329841</v>
      </c>
      <c r="J21" s="5">
        <f t="shared" si="5"/>
        <v>5.2748999406346364E-2</v>
      </c>
    </row>
    <row r="22" spans="1:10" ht="15.75" x14ac:dyDescent="0.25">
      <c r="A22" s="2">
        <v>45413</v>
      </c>
      <c r="B22" s="1">
        <v>1753211</v>
      </c>
      <c r="C22" s="5">
        <f t="shared" si="0"/>
        <v>5.017028201866669E-3</v>
      </c>
      <c r="D22" s="3">
        <v>1382429</v>
      </c>
      <c r="E22" s="5">
        <f t="shared" si="1"/>
        <v>0.12009401980865464</v>
      </c>
      <c r="F22" s="4">
        <v>1704495</v>
      </c>
      <c r="G22" s="5">
        <f t="shared" si="2"/>
        <v>0.13486148923293251</v>
      </c>
      <c r="H22" s="6">
        <f t="shared" si="3"/>
        <v>8752</v>
      </c>
      <c r="I22" s="7">
        <f t="shared" si="4"/>
        <v>313314</v>
      </c>
      <c r="J22" s="5">
        <f t="shared" si="5"/>
        <v>0.31508056764618231</v>
      </c>
    </row>
    <row r="23" spans="1:10" ht="15.75" x14ac:dyDescent="0.25">
      <c r="A23" s="2">
        <v>45383</v>
      </c>
      <c r="B23" s="1">
        <v>1744459</v>
      </c>
      <c r="C23" s="5">
        <f t="shared" si="0"/>
        <v>1.7193273596727288E-2</v>
      </c>
      <c r="D23" s="3">
        <v>1234208</v>
      </c>
      <c r="E23" s="5">
        <f t="shared" si="1"/>
        <v>-6.3310737173162712E-2</v>
      </c>
      <c r="F23" s="4">
        <v>1501941</v>
      </c>
      <c r="G23" s="5">
        <f t="shared" si="2"/>
        <v>7.8615640828426647E-2</v>
      </c>
      <c r="H23" s="6">
        <f t="shared" si="3"/>
        <v>29486</v>
      </c>
      <c r="I23" s="7">
        <f t="shared" si="4"/>
        <v>238247</v>
      </c>
      <c r="J23" s="5">
        <f t="shared" si="5"/>
        <v>-0.1463128851942096</v>
      </c>
    </row>
    <row r="24" spans="1:10" ht="15.75" x14ac:dyDescent="0.25">
      <c r="A24" s="2">
        <v>45352</v>
      </c>
      <c r="B24" s="1">
        <v>1714973</v>
      </c>
      <c r="C24" s="5">
        <f t="shared" si="0"/>
        <v>-0.10641722375352358</v>
      </c>
      <c r="D24" s="3">
        <v>1317628</v>
      </c>
      <c r="E24" s="5">
        <f t="shared" si="1"/>
        <v>0.29746922071770898</v>
      </c>
      <c r="F24" s="4">
        <v>1392471</v>
      </c>
      <c r="G24" s="5">
        <f t="shared" si="2"/>
        <v>0.10551123715039701</v>
      </c>
      <c r="H24" s="6">
        <f t="shared" si="3"/>
        <v>-204237</v>
      </c>
      <c r="I24" s="7">
        <f t="shared" si="4"/>
        <v>279080</v>
      </c>
      <c r="J24" s="5">
        <f t="shared" si="5"/>
        <v>-0.19014758884058891</v>
      </c>
    </row>
    <row r="25" spans="1:10" ht="15.75" x14ac:dyDescent="0.25">
      <c r="A25" s="2">
        <v>45323</v>
      </c>
      <c r="B25" s="1">
        <v>1919210</v>
      </c>
      <c r="C25" s="5">
        <f t="shared" si="0"/>
        <v>-4.9793022114773877E-2</v>
      </c>
      <c r="D25" s="3">
        <v>1015537</v>
      </c>
      <c r="E25" s="5">
        <f t="shared" si="1"/>
        <v>-0.248070079832723</v>
      </c>
      <c r="F25" s="4">
        <v>1259572</v>
      </c>
      <c r="G25" s="5">
        <f t="shared" si="2"/>
        <v>-0.10160197429423257</v>
      </c>
      <c r="H25" s="6">
        <f t="shared" si="3"/>
        <v>-100571</v>
      </c>
      <c r="I25" s="7">
        <f t="shared" si="4"/>
        <v>344606</v>
      </c>
      <c r="J25" s="5">
        <f t="shared" si="5"/>
        <v>6.744684541805035E-2</v>
      </c>
    </row>
    <row r="26" spans="1:10" ht="15.75" x14ac:dyDescent="0.25">
      <c r="A26" s="2">
        <v>45292</v>
      </c>
      <c r="B26" s="1">
        <v>2019781</v>
      </c>
      <c r="C26" s="5">
        <f t="shared" si="0"/>
        <v>-0.11844880796554769</v>
      </c>
      <c r="D26" s="3">
        <v>1350574</v>
      </c>
      <c r="E26" s="5">
        <f t="shared" si="1"/>
        <v>1.2089706476344775E-2</v>
      </c>
      <c r="F26" s="4">
        <v>1402020</v>
      </c>
      <c r="G26" s="5">
        <f t="shared" si="2"/>
        <v>-9.593583170460096E-2</v>
      </c>
      <c r="H26" s="6">
        <f t="shared" si="3"/>
        <v>-271386</v>
      </c>
      <c r="I26" s="7">
        <f t="shared" si="4"/>
        <v>322832</v>
      </c>
      <c r="J26" s="5">
        <f t="shared" si="5"/>
        <v>-6.5844490678179435E-2</v>
      </c>
    </row>
    <row r="27" spans="1:10" ht="15.75" x14ac:dyDescent="0.25">
      <c r="A27" s="2">
        <v>45261</v>
      </c>
      <c r="B27" s="1">
        <v>2291167</v>
      </c>
      <c r="C27" s="5">
        <f t="shared" si="0"/>
        <v>-5.3392458595652448E-2</v>
      </c>
      <c r="D27" s="3">
        <v>1334441</v>
      </c>
      <c r="E27" s="5">
        <f t="shared" si="1"/>
        <v>-4.4590150788883398E-2</v>
      </c>
      <c r="F27" s="4">
        <v>1550797</v>
      </c>
      <c r="G27" s="5">
        <f t="shared" si="2"/>
        <v>-0.13308569096692324</v>
      </c>
      <c r="H27" s="6">
        <f t="shared" si="3"/>
        <v>-129231</v>
      </c>
      <c r="I27" s="7">
        <f t="shared" si="4"/>
        <v>345587</v>
      </c>
      <c r="J27" s="5">
        <f t="shared" si="5"/>
        <v>-0.17835345920024348</v>
      </c>
    </row>
    <row r="28" spans="1:10" ht="15.75" x14ac:dyDescent="0.25">
      <c r="A28" s="2">
        <v>45231</v>
      </c>
      <c r="B28" s="1">
        <v>2420398</v>
      </c>
      <c r="C28" s="5">
        <f t="shared" si="0"/>
        <v>-1.1619322033344592E-2</v>
      </c>
      <c r="D28" s="3">
        <v>1396721</v>
      </c>
      <c r="E28" s="5">
        <f t="shared" si="1"/>
        <v>-4.7299403505301596E-2</v>
      </c>
      <c r="F28" s="4">
        <v>1788870</v>
      </c>
      <c r="G28" s="5">
        <f t="shared" si="2"/>
        <v>-7.6580715498052898E-2</v>
      </c>
      <c r="H28" s="6">
        <f t="shared" si="3"/>
        <v>-28454</v>
      </c>
      <c r="I28" s="7">
        <f t="shared" si="4"/>
        <v>420603</v>
      </c>
      <c r="J28" s="5">
        <f t="shared" si="5"/>
        <v>0.25225678524217265</v>
      </c>
    </row>
    <row r="29" spans="1:10" ht="15.75" x14ac:dyDescent="0.25">
      <c r="A29" s="2">
        <v>45200</v>
      </c>
      <c r="B29" s="1">
        <v>2448852</v>
      </c>
      <c r="C29" s="5">
        <f t="shared" si="0"/>
        <v>5.8473726091592626E-2</v>
      </c>
      <c r="D29" s="3">
        <v>1466065</v>
      </c>
      <c r="E29" s="5">
        <f t="shared" si="1"/>
        <v>0.22569105092913455</v>
      </c>
      <c r="F29" s="4">
        <v>1937224</v>
      </c>
      <c r="G29" s="5">
        <f t="shared" si="2"/>
        <v>5.8919862646042542E-2</v>
      </c>
      <c r="H29" s="6">
        <f t="shared" si="3"/>
        <v>135283</v>
      </c>
      <c r="I29" s="7">
        <f t="shared" si="4"/>
        <v>335876</v>
      </c>
      <c r="J29" s="5">
        <f t="shared" si="5"/>
        <v>-0.22022046191135092</v>
      </c>
    </row>
    <row r="30" spans="1:10" ht="15.75" x14ac:dyDescent="0.25">
      <c r="A30" s="2">
        <v>45170</v>
      </c>
      <c r="B30" s="1">
        <v>2313569</v>
      </c>
      <c r="C30" s="5">
        <f t="shared" si="0"/>
        <v>9.5969170716918129E-2</v>
      </c>
      <c r="D30" s="3">
        <v>1196113</v>
      </c>
      <c r="E30" s="5">
        <f t="shared" si="1"/>
        <v>-2.106235800197731E-2</v>
      </c>
      <c r="F30" s="4">
        <v>1829434</v>
      </c>
      <c r="G30" s="5">
        <f t="shared" si="2"/>
        <v>4.3320908460471541E-2</v>
      </c>
      <c r="H30" s="6">
        <f t="shared" si="3"/>
        <v>202589</v>
      </c>
      <c r="I30" s="7">
        <f t="shared" si="4"/>
        <v>430732</v>
      </c>
      <c r="J30" s="5">
        <f t="shared" si="5"/>
        <v>1.7824884852165037</v>
      </c>
    </row>
    <row r="31" spans="1:10" ht="15.75" x14ac:dyDescent="0.25">
      <c r="A31" s="2">
        <v>45139</v>
      </c>
      <c r="B31" s="1">
        <v>2110980</v>
      </c>
      <c r="C31" s="5">
        <f t="shared" si="0"/>
        <v>0.21729462787971321</v>
      </c>
      <c r="D31" s="3">
        <v>1221848</v>
      </c>
      <c r="E31" s="5">
        <f t="shared" si="1"/>
        <v>-9.7825059660232028E-2</v>
      </c>
      <c r="F31" s="4">
        <v>1753472</v>
      </c>
      <c r="G31" s="5">
        <f t="shared" si="2"/>
        <v>8.9128602458296013E-2</v>
      </c>
      <c r="H31" s="6">
        <f t="shared" si="3"/>
        <v>376823</v>
      </c>
      <c r="I31" s="7">
        <f t="shared" si="4"/>
        <v>154801</v>
      </c>
      <c r="J31" s="5">
        <f t="shared" si="5"/>
        <v>-0.3604612251137157</v>
      </c>
    </row>
    <row r="32" spans="1:10" ht="15.75" x14ac:dyDescent="0.25">
      <c r="A32" s="2">
        <v>45108</v>
      </c>
      <c r="B32" s="1">
        <v>1734157</v>
      </c>
      <c r="C32" s="5">
        <f t="shared" si="0"/>
        <v>7.8985590215319146E-3</v>
      </c>
      <c r="D32" s="3">
        <v>1354336</v>
      </c>
      <c r="E32" s="5">
        <f t="shared" si="1"/>
        <v>0.15583221889478982</v>
      </c>
      <c r="F32" s="4">
        <v>1609977</v>
      </c>
      <c r="G32" s="5">
        <f t="shared" si="2"/>
        <v>0.11202000283189273</v>
      </c>
      <c r="H32" s="6">
        <f t="shared" si="3"/>
        <v>13590</v>
      </c>
      <c r="I32" s="7">
        <f t="shared" si="4"/>
        <v>242051</v>
      </c>
      <c r="J32" s="5">
        <f t="shared" si="5"/>
        <v>-8.9982622621964659E-4</v>
      </c>
    </row>
    <row r="33" spans="1:10" ht="15.75" x14ac:dyDescent="0.25">
      <c r="A33" s="2">
        <v>45078</v>
      </c>
      <c r="B33" s="1">
        <v>1720567</v>
      </c>
      <c r="C33" s="5">
        <f t="shared" si="0"/>
        <v>2.0029262821158911E-2</v>
      </c>
      <c r="D33" s="3">
        <v>1171741</v>
      </c>
      <c r="E33" s="5">
        <f t="shared" si="1"/>
        <v>8.5930751978647191E-2</v>
      </c>
      <c r="F33" s="4">
        <v>1447795</v>
      </c>
      <c r="G33" s="5">
        <f t="shared" si="2"/>
        <v>-4.5963021878743682E-2</v>
      </c>
      <c r="H33" s="6">
        <f t="shared" si="3"/>
        <v>33785</v>
      </c>
      <c r="I33" s="7">
        <f t="shared" si="4"/>
        <v>242269</v>
      </c>
      <c r="J33" s="5">
        <f t="shared" si="5"/>
        <v>-2.8440694414924583E-2</v>
      </c>
    </row>
    <row r="34" spans="1:10" ht="15.75" x14ac:dyDescent="0.25">
      <c r="A34" s="2">
        <v>45047</v>
      </c>
      <c r="B34" s="1">
        <v>1686782</v>
      </c>
      <c r="C34" s="5">
        <f t="shared" si="0"/>
        <v>0.12631066554399428</v>
      </c>
      <c r="D34" s="3">
        <v>1079020</v>
      </c>
      <c r="E34" s="5">
        <f t="shared" si="1"/>
        <v>-7.835106906314282E-3</v>
      </c>
      <c r="F34" s="4">
        <v>1517546</v>
      </c>
      <c r="G34" s="5">
        <f t="shared" si="2"/>
        <v>0.26802207920907906</v>
      </c>
      <c r="H34" s="6">
        <f t="shared" si="3"/>
        <v>189165</v>
      </c>
      <c r="I34" s="7">
        <f t="shared" si="4"/>
        <v>249361</v>
      </c>
      <c r="J34" s="5">
        <f t="shared" si="5"/>
        <v>-0.12702785965845842</v>
      </c>
    </row>
    <row r="35" spans="1:10" ht="15.75" x14ac:dyDescent="0.25">
      <c r="A35" s="2">
        <v>45017</v>
      </c>
      <c r="B35" s="1">
        <v>1497617</v>
      </c>
      <c r="C35" s="5">
        <f t="shared" si="0"/>
        <v>-0.10537794604849882</v>
      </c>
      <c r="D35" s="3">
        <v>1087541</v>
      </c>
      <c r="E35" s="5">
        <f t="shared" si="1"/>
        <v>-0.2690451098104899</v>
      </c>
      <c r="F35" s="4">
        <v>1196782</v>
      </c>
      <c r="G35" s="5">
        <f t="shared" si="2"/>
        <v>-7.1076738225673952E-2</v>
      </c>
      <c r="H35" s="6">
        <f t="shared" si="3"/>
        <v>-176405</v>
      </c>
      <c r="I35" s="7">
        <f t="shared" si="4"/>
        <v>285646</v>
      </c>
      <c r="J35" s="5">
        <f t="shared" si="5"/>
        <v>0.15954112947747867</v>
      </c>
    </row>
    <row r="36" spans="1:10" ht="15.75" x14ac:dyDescent="0.25">
      <c r="A36" s="2">
        <v>44986</v>
      </c>
      <c r="B36" s="1">
        <v>1674022</v>
      </c>
      <c r="C36" s="5">
        <f t="shared" si="0"/>
        <v>-0.21031036187500241</v>
      </c>
      <c r="D36" s="3">
        <v>1487836</v>
      </c>
      <c r="E36" s="5">
        <f t="shared" si="1"/>
        <v>0.31905850687041037</v>
      </c>
      <c r="F36" s="4">
        <v>1288354</v>
      </c>
      <c r="G36" s="5">
        <f t="shared" si="2"/>
        <v>2.7670891084054405E-2</v>
      </c>
      <c r="H36" s="6">
        <f t="shared" si="3"/>
        <v>-445826</v>
      </c>
      <c r="I36" s="7">
        <f t="shared" si="4"/>
        <v>246344</v>
      </c>
      <c r="J36" s="5">
        <f t="shared" si="5"/>
        <v>-0.1011344189797162</v>
      </c>
    </row>
    <row r="37" spans="1:10" ht="15.75" x14ac:dyDescent="0.25">
      <c r="A37" s="2">
        <v>44958</v>
      </c>
      <c r="B37" s="1">
        <v>2119848</v>
      </c>
      <c r="C37" s="5">
        <f t="shared" si="0"/>
        <v>-6.540434300709197E-2</v>
      </c>
      <c r="D37" s="3">
        <v>1127953</v>
      </c>
      <c r="E37" s="5">
        <f t="shared" si="1"/>
        <v>-7.9612666610964222E-3</v>
      </c>
      <c r="F37" s="4">
        <v>1253664</v>
      </c>
      <c r="G37" s="5">
        <f t="shared" si="2"/>
        <v>-9.1817648379829198E-2</v>
      </c>
      <c r="H37" s="6">
        <f t="shared" si="3"/>
        <v>-148350</v>
      </c>
      <c r="I37" s="7">
        <f t="shared" si="4"/>
        <v>274061</v>
      </c>
      <c r="J37" s="5"/>
    </row>
    <row r="38" spans="1:10" ht="15.75" x14ac:dyDescent="0.25">
      <c r="A38" s="2">
        <v>44927</v>
      </c>
      <c r="B38" s="1">
        <v>2268198</v>
      </c>
      <c r="C38" s="5"/>
      <c r="D38" s="3">
        <v>1137005</v>
      </c>
      <c r="E38" s="4"/>
      <c r="F38" s="4">
        <v>1380410</v>
      </c>
      <c r="H38" s="6"/>
      <c r="I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Xhavier</dc:creator>
  <cp:lastModifiedBy>Reyhan Xhavier</cp:lastModifiedBy>
  <dcterms:created xsi:type="dcterms:W3CDTF">2026-03-05T05:37:25Z</dcterms:created>
  <dcterms:modified xsi:type="dcterms:W3CDTF">2026-03-05T06:34:01Z</dcterms:modified>
</cp:coreProperties>
</file>