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Code\"/>
    </mc:Choice>
  </mc:AlternateContent>
  <xr:revisionPtr revIDLastSave="0" documentId="13_ncr:1_{BF2C95E3-E4DB-4AB7-A4FD-6EE20F7774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urve Input" sheetId="1" r:id="rId1"/>
    <sheet name="Python Co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F48" i="1" s="1"/>
  <c r="G48" i="1" s="1"/>
  <c r="E47" i="1"/>
  <c r="F47" i="1" s="1"/>
  <c r="G47" i="1" s="1"/>
  <c r="E46" i="1"/>
  <c r="F46" i="1" s="1"/>
  <c r="G46" i="1" s="1"/>
  <c r="E45" i="1"/>
  <c r="F45" i="1" s="1"/>
  <c r="G45" i="1" s="1"/>
  <c r="E44" i="1"/>
  <c r="F44" i="1" s="1"/>
  <c r="G44" i="1" s="1"/>
  <c r="E43" i="1"/>
  <c r="F43" i="1" s="1"/>
  <c r="G43" i="1" s="1"/>
  <c r="E42" i="1"/>
  <c r="F42" i="1" s="1"/>
  <c r="G42" i="1" s="1"/>
  <c r="E41" i="1"/>
  <c r="F41" i="1" s="1"/>
  <c r="G41" i="1" s="1"/>
  <c r="E40" i="1"/>
  <c r="F40" i="1" s="1"/>
  <c r="G40" i="1" s="1"/>
  <c r="E39" i="1"/>
  <c r="F39" i="1" s="1"/>
  <c r="G39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F19" i="1"/>
  <c r="C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<sst xmlns="http://schemas.openxmlformats.org/spreadsheetml/2006/main" count="176" uniqueCount="169">
  <si>
    <t>FCPO Curve Input — Price Feed</t>
  </si>
  <si>
    <t>Three paste zones: (A) Outright prices  ·  (B) Listed spread contracts (FCPOS)  ·  (C) Listed butterfly contracts (FCPOB)  ·  Gap = listed minus calculated</t>
  </si>
  <si>
    <t xml:space="preserve">  Zone A — Outright prices  (M1 – M12)  ·  paste Last Price in column C</t>
  </si>
  <si>
    <t>Offset</t>
  </si>
  <si>
    <t>Contract</t>
  </si>
  <si>
    <t>Last Price
▼ PASTE</t>
  </si>
  <si>
    <t>Bid (opt)</t>
  </si>
  <si>
    <t>Ask (opt)</t>
  </si>
  <si>
    <t>Status</t>
  </si>
  <si>
    <t>▼  TT outright grid: select Last column for 12 contracts → Ctrl+C  →  click C7 → Ctrl+Shift+V → Values Only → OK → Ctrl+S</t>
  </si>
  <si>
    <t>M1</t>
  </si>
  <si>
    <t>FCPO May26</t>
  </si>
  <si>
    <t>M2</t>
  </si>
  <si>
    <t>FCPO Jun26</t>
  </si>
  <si>
    <t>M3</t>
  </si>
  <si>
    <t>FCPO Jul26</t>
  </si>
  <si>
    <t>M4</t>
  </si>
  <si>
    <t>FCPO Aug26</t>
  </si>
  <si>
    <t>M5</t>
  </si>
  <si>
    <t>FCPO Sep26</t>
  </si>
  <si>
    <t>M6</t>
  </si>
  <si>
    <t>FCPO Oct26</t>
  </si>
  <si>
    <t>M7</t>
  </si>
  <si>
    <t>FCPO Nov26</t>
  </si>
  <si>
    <t>M8</t>
  </si>
  <si>
    <t>FCPO Dec26</t>
  </si>
  <si>
    <t>M9</t>
  </si>
  <si>
    <t>FCPO Jan27</t>
  </si>
  <si>
    <t>M10</t>
  </si>
  <si>
    <t>FCPO Feb27</t>
  </si>
  <si>
    <t>M11</t>
  </si>
  <si>
    <t>FCPO Mar27</t>
  </si>
  <si>
    <t>M12</t>
  </si>
  <si>
    <t>FCPO Apr27</t>
  </si>
  <si>
    <t>Filled:</t>
  </si>
  <si>
    <t>M1 front month:</t>
  </si>
  <si>
    <t xml:space="preserve">  Zone B — Listed calendar spread contracts (FCPOS)  ·  paste Last Price in column C</t>
  </si>
  <si>
    <t>Spread</t>
  </si>
  <si>
    <t>Contracts</t>
  </si>
  <si>
    <t>Listed price
▼ PASTE</t>
  </si>
  <si>
    <t>Calc (M−M)</t>
  </si>
  <si>
    <t>Gap
(listed−calc)</t>
  </si>
  <si>
    <t>Signal</t>
  </si>
  <si>
    <t>▼  TT FCPOS spread grid: select Last column for all 11 spreads → Ctrl+C  →  click C24 → Ctrl+Shift+V → Values Only → OK</t>
  </si>
  <si>
    <t>M1/M2</t>
  </si>
  <si>
    <t>FCPO May26 / FCPO Jun26</t>
  </si>
  <si>
    <t>M2/M3</t>
  </si>
  <si>
    <t>FCPO Jun26 / FCPO Jul26</t>
  </si>
  <si>
    <t>M3/M4</t>
  </si>
  <si>
    <t>FCPO Jul26 / FCPO Aug26</t>
  </si>
  <si>
    <t>M4/M5</t>
  </si>
  <si>
    <t>FCPO Aug26 / FCPO Sep26</t>
  </si>
  <si>
    <t>M5/M6</t>
  </si>
  <si>
    <t>FCPO Sep26 / FCPO Oct26</t>
  </si>
  <si>
    <t>M6/M7</t>
  </si>
  <si>
    <t>FCPO Oct26 / FCPO Nov26</t>
  </si>
  <si>
    <t>M7/M8</t>
  </si>
  <si>
    <t>FCPO Nov26 / FCPO Dec26</t>
  </si>
  <si>
    <t>M8/M9</t>
  </si>
  <si>
    <t>FCPO Dec26 / FCPO Jan27</t>
  </si>
  <si>
    <t>M9/M10</t>
  </si>
  <si>
    <t>FCPO Jan27 / FCPO Feb27</t>
  </si>
  <si>
    <t>M10/M11</t>
  </si>
  <si>
    <t>FCPO Feb27 / FCPO Mar27</t>
  </si>
  <si>
    <t>M11/M12</t>
  </si>
  <si>
    <t>FCPO Mar27 / FCPO Apr27</t>
  </si>
  <si>
    <t xml:space="preserve">  Zone C — Listed butterfly contracts (FCPOB)  ·  paste Last Price in column C</t>
  </si>
  <si>
    <t>Butterfly</t>
  </si>
  <si>
    <t>Triplet</t>
  </si>
  <si>
    <t>Calc (Mid−½(F+B))</t>
  </si>
  <si>
    <t>▼  TT FCPOB butterfly grid: select Last column for all 10 butterflies → Ctrl+C  →  click C39 → Ctrl+Shift+V → Values Only → OK</t>
  </si>
  <si>
    <t>M1/M2/M3</t>
  </si>
  <si>
    <t>FCPO May26 / FCPO Jun26 / FCPO Jul26</t>
  </si>
  <si>
    <t>M2/M3/M4</t>
  </si>
  <si>
    <t>FCPO Jun26 / FCPO Jul26 / FCPO Aug26</t>
  </si>
  <si>
    <t>M3/M4/M5</t>
  </si>
  <si>
    <t>FCPO Jul26 / FCPO Aug26 / FCPO Sep26</t>
  </si>
  <si>
    <t>M4/M5/M6</t>
  </si>
  <si>
    <t>FCPO Aug26 / FCPO Sep26 / FCPO Oct26</t>
  </si>
  <si>
    <t>M5/M6/M7</t>
  </si>
  <si>
    <t>FCPO Sep26 / FCPO Oct26 / FCPO Nov26</t>
  </si>
  <si>
    <t>M6/M7/M8</t>
  </si>
  <si>
    <t>FCPO Oct26 / FCPO Nov26 / FCPO Dec26</t>
  </si>
  <si>
    <t>M7/M8/M9</t>
  </si>
  <si>
    <t>FCPO Nov26 / FCPO Dec26 / FCPO Jan27</t>
  </si>
  <si>
    <t>M8/M9/M10</t>
  </si>
  <si>
    <t>FCPO Dec26 / FCPO Jan27 / FCPO Feb27</t>
  </si>
  <si>
    <t>M9/M10/M11</t>
  </si>
  <si>
    <t>FCPO Jan27 / FCPO Feb27 / FCPO Mar27</t>
  </si>
  <si>
    <t>M10/M11/M12</t>
  </si>
  <si>
    <t>FCPO Feb27 / FCPO Mar27 / FCPO Apr27</t>
  </si>
  <si>
    <t>fcpo_tt_reader.py  —  copy into project, update SHAREPOINT_FILE path</t>
  </si>
  <si>
    <t># fcpo_tt_reader.py</t>
  </si>
  <si>
    <t># Reads FCPO prices from SharePoint Excel.  Three zones per sheet.</t>
  </si>
  <si>
    <t># Rolling MA/Z-scores come from Raw Data CSVs — NOT this file.</t>
  </si>
  <si>
    <t>import openpyxl</t>
  </si>
  <si>
    <t>from pathlib import Path</t>
  </si>
  <si>
    <t>from datetime import datetime</t>
  </si>
  <si>
    <t>SHAREPOINT_FILE = r"Z:\\YourSharePointFolder\\FCPO_Curve_Input.xlsx"  # UPDATE THIS</t>
  </si>
  <si>
    <t>CURVE_SHEET     = "Curve Input"</t>
  </si>
  <si>
    <t>PRICE_COL       = 3       # column C in all three zones</t>
  </si>
  <si>
    <t>ZONE_A_START    = 7       # M1 outright price row</t>
  </si>
  <si>
    <t>ZONE_B_START    = 24      # M1/M2 listed spread row</t>
  </si>
  <si>
    <t>ZONE_C_START    = 39      # M1/M2/M3 listed butterfly row</t>
  </si>
  <si>
    <t>def _read_zone(ws, start, n):</t>
  </si>
  <si>
    <t xml:space="preserve">    out = []</t>
  </si>
  <si>
    <t xml:space="preserve">    for i in range(n):</t>
  </si>
  <si>
    <t xml:space="preserve">        v = ws.cell(start + i, PRICE_COL).value</t>
  </si>
  <si>
    <t xml:space="preserve">        try:    out.append(float(v) if v not in (None, "", "\u2014") else None)</t>
  </si>
  <si>
    <t xml:space="preserve">        except: out.append(None)</t>
  </si>
  <si>
    <t xml:space="preserve">    return out</t>
  </si>
  <si>
    <t>def read_all(filepath=SHAREPOINT_FILE):</t>
  </si>
  <si>
    <t xml:space="preserve">    """</t>
  </si>
  <si>
    <t xml:space="preserve">    Returns:</t>
  </si>
  <si>
    <t xml:space="preserve">      {</t>
  </si>
  <si>
    <t xml:space="preserve">        'outrights':   {1: price, 2: price, ... 12: price},</t>
  </si>
  <si>
    <t xml:space="preserve">        'spreads':     {(1,2): price, (2,3): price, ... (11,12): price},</t>
  </si>
  <si>
    <t xml:space="preserve">        'butterflies': {(1,2,3): price, ... (10,11,12): price}</t>
  </si>
  <si>
    <t xml:space="preserve">      }</t>
  </si>
  <si>
    <t xml:space="preserve">    Returns None if file unavailable.</t>
  </si>
  <si>
    <t xml:space="preserve">    try:</t>
  </si>
  <si>
    <t xml:space="preserve">        wb = openpyxl.load_workbook(filepath, read_only=True, data_only=True)</t>
  </si>
  <si>
    <t xml:space="preserve">        ws = wb[CURVE_SHEET]</t>
  </si>
  <si>
    <t xml:space="preserve">        a = _read_zone(ws, ZONE_A_START, 12)</t>
  </si>
  <si>
    <t xml:space="preserve">        b = _read_zone(ws, ZONE_B_START, 11)</t>
  </si>
  <si>
    <t xml:space="preserve">        c_ = _read_zone(ws, ZONE_C_START, 10)</t>
  </si>
  <si>
    <t xml:space="preserve">        wb.close()</t>
  </si>
  <si>
    <t xml:space="preserve">        return {</t>
  </si>
  <si>
    <t xml:space="preserve">            "outrights":   {i+1: p for i,p in enumerate(a)},</t>
  </si>
  <si>
    <t xml:space="preserve">            "spreads":     {(i+1, i+2): p for i,p in enumerate(b)},</t>
  </si>
  <si>
    <t xml:space="preserve">            "butterflies": {(i+1, i+2, i+3): p for i,p in enumerate(c_)},</t>
  </si>
  <si>
    <t xml:space="preserve">        }</t>
  </si>
  <si>
    <t xml:space="preserve">    except Exception:</t>
  </si>
  <si>
    <t xml:space="preserve">        return None</t>
  </si>
  <si>
    <t>def compute_gaps(data):</t>
  </si>
  <si>
    <t xml:space="preserve">    """Gap = listed contract price minus value calculated from outrights."""</t>
  </si>
  <si>
    <t xml:space="preserve">    if not data: return None</t>
  </si>
  <si>
    <t xml:space="preserve">    oc = data["outrights"]</t>
  </si>
  <si>
    <t xml:space="preserve">    spread_gaps, butter_gaps = {}, {}</t>
  </si>
  <si>
    <t xml:space="preserve">    for (n, f), listed in data["spreads"].items():</t>
  </si>
  <si>
    <t xml:space="preserve">        pn, pf = oc.get(n), oc.get(f)</t>
  </si>
  <si>
    <t xml:space="preserve">        if listed is not None and pn and pf:</t>
  </si>
  <si>
    <t xml:space="preserve">            calc = pn - pf</t>
  </si>
  <si>
    <t xml:space="preserve">            spread_gaps[(n,f)] = {"listed": listed, "calc": round(calc,2),</t>
  </si>
  <si>
    <t xml:space="preserve">                "gap": round(listed-calc,2),</t>
  </si>
  <si>
    <t xml:space="preserve">                "signal": "RICH" if listed-calc&gt;5 else "CHEAP" if listed-calc&lt;-5 else "FAIR"}</t>
  </si>
  <si>
    <t xml:space="preserve">    for (fr,mi,bk), listed in data["butterflies"].items():</t>
  </si>
  <si>
    <t xml:space="preserve">        pf,pm,pb = oc.get(fr), oc.get(mi), oc.get(bk)</t>
  </si>
  <si>
    <t xml:space="preserve">        if listed is not None and pf and pm and pb:</t>
  </si>
  <si>
    <t xml:space="preserve">            calc = pm - 0.5*(pf+pb)</t>
  </si>
  <si>
    <t xml:space="preserve">            butter_gaps[(fr,mi,bk)] = {"listed": listed, "calc": round(calc,2),</t>
  </si>
  <si>
    <t xml:space="preserve">                "signal": "RICH" if listed-calc&gt;3 else "CHEAP" if listed-calc&lt;-3 else "FAIR"}</t>
  </si>
  <si>
    <t xml:space="preserve">    return {"spread_gaps": spread_gaps, "butterfly_gaps": butter_gaps}</t>
  </si>
  <si>
    <t>def is_available(filepath=SHAREPOINT_FILE):</t>
  </si>
  <si>
    <t xml:space="preserve">    d = read_all(filepath)</t>
  </si>
  <si>
    <t xml:space="preserve">    return d is not None and d["outrights"].get(1) is not None</t>
  </si>
  <si>
    <t>def get_last_update_time(filepath=SHAREPOINT_FILE):</t>
  </si>
  <si>
    <t xml:space="preserve">    try:    return datetime.fromtimestamp(Path(filepath).stat().st_mtime)</t>
  </si>
  <si>
    <t xml:space="preserve">    except: return None</t>
  </si>
  <si>
    <t>if __name__ == "__main__":</t>
  </si>
  <si>
    <t xml:space="preserve">    d = read_all()</t>
  </si>
  <si>
    <t xml:space="preserve">    if d:</t>
  </si>
  <si>
    <t xml:space="preserve">        print(f"Outrights:   {sum(1 for v in d['outrights'].values() if v)}/12")</t>
  </si>
  <si>
    <t xml:space="preserve">        print(f"Spreads:     {sum(1 for v in d['spreads'].values() if v)}/11")</t>
  </si>
  <si>
    <t xml:space="preserve">        print(f"Butterflies: {sum(1 for v in d['butterflies'].values() if v)}/10")</t>
  </si>
  <si>
    <t xml:space="preserve">        for k,v in (compute_gaps(d) or {}).get("spread_gaps",{}).items():</t>
  </si>
  <si>
    <t xml:space="preserve">            print(f"  M{k[0]}/M{k[1]}: gap={v['gap']:+.1f} [{v['signal']}]")</t>
  </si>
  <si>
    <t xml:space="preserve">    else:</t>
  </si>
  <si>
    <t xml:space="preserve">        print("File unavailable. Check SHAREPOINT_FILE path.")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</si>
</sst>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/ 12&quot;"/>
    <numFmt numFmtId="165" formatCode="\+#,##0.00;\-#,##0.00;\-"/>
  </numFmts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1F2D4E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833C00"/>
      <name val="Calibri"/>
    </font>
    <font>
      <b/>
      <sz val="10"/>
      <color rgb="FF2E5FA3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sz val="10"/>
      <color rgb="FF666666"/>
      <name val="Calibri"/>
    </font>
    <font>
      <sz val="10"/>
      <color rgb="FF000000"/>
      <name val="Calibri"/>
    </font>
    <font>
      <b/>
      <sz val="10"/>
      <color rgb="FF1F2D4E"/>
      <name val="Calibri"/>
    </font>
    <font>
      <b/>
      <sz val="11"/>
      <color rgb="FF27500A"/>
      <name val="Calibri"/>
    </font>
    <font>
      <b/>
      <sz val="11"/>
      <color rgb="FF000000"/>
      <name val="Calibri"/>
    </font>
    <font>
      <b/>
      <sz val="9"/>
      <color rgb="FF085041"/>
      <name val="Calibri"/>
    </font>
    <font>
      <b/>
      <sz val="10"/>
      <color rgb="FF085041"/>
      <name val="Calibri"/>
    </font>
    <font>
      <sz val="9"/>
      <color rgb="FF000000"/>
      <name val="Calibri"/>
    </font>
    <font>
      <sz val="10"/>
      <color rgb="FF27500A"/>
      <name val="Calibri"/>
    </font>
    <font>
      <b/>
      <sz val="9"/>
      <color rgb="FF000000"/>
      <name val="Calibri"/>
    </font>
    <font>
      <b/>
      <sz val="9"/>
      <color rgb="FF3C3489"/>
      <name val="Calibri"/>
    </font>
    <font>
      <b/>
      <sz val="10"/>
      <color rgb="FF3C3489"/>
      <name val="Calibri"/>
    </font>
    <font>
      <sz val="8"/>
      <color rgb="FF000000"/>
      <name val="Calibri"/>
    </font>
    <font>
      <b/>
      <sz val="13"/>
      <color rgb="FFFFFFFF"/>
      <name val="Calibri"/>
    </font>
    <font>
      <sz val="9"/>
      <color rgb="FF888888"/>
      <name val="Courier New"/>
    </font>
    <font>
      <sz val="9"/>
      <color rgb="FF000000"/>
      <name val="Courier New"/>
    </font>
    <font>
      <b/>
      <sz val="12"/>
      <color rgb="FF27622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D6E4F7"/>
      </patternFill>
    </fill>
    <fill>
      <patternFill patternType="solid">
        <fgColor rgb="FF2E5FA3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085041"/>
      </patternFill>
    </fill>
    <fill>
      <patternFill patternType="solid">
        <fgColor rgb="FFE1F5EE"/>
      </patternFill>
    </fill>
    <fill>
      <patternFill patternType="solid">
        <fgColor rgb="FF3C3489"/>
      </patternFill>
    </fill>
    <fill>
      <patternFill patternType="solid">
        <fgColor rgb="FFEEEDFE"/>
      </patternFill>
    </fill>
    <fill>
      <patternFill patternType="solid">
        <fgColor rgb="FFF8F8F8"/>
      </patternFill>
    </fill>
    <fill>
      <patternFill patternType="solid">
        <fgColor rgb="FFFFF2CC"/>
        <bgColor rgb="FFC6EFCE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D6E4F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E1F5EE"/>
      </bottom>
      <diagonal/>
    </border>
    <border>
      <left style="medium">
        <color rgb="FF085041"/>
      </left>
      <right style="medium">
        <color rgb="FF085041"/>
      </right>
      <top style="medium">
        <color rgb="FF085041"/>
      </top>
      <bottom style="medium">
        <color rgb="FF085041"/>
      </bottom>
      <diagonal/>
    </border>
    <border>
      <left style="medium">
        <color rgb="FF3C3489"/>
      </left>
      <right style="medium">
        <color rgb="FF3C3489"/>
      </right>
      <top style="medium">
        <color rgb="FF3C3489"/>
      </top>
      <bottom style="medium">
        <color rgb="FF3C348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EEEDFE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4" fontId="8" fillId="7" borderId="4" xfId="0" applyNumberFormat="1" applyFont="1" applyFill="1" applyBorder="1" applyAlignment="1">
      <alignment horizontal="center" vertical="center"/>
    </xf>
    <xf numFmtId="4" fontId="9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4" fontId="9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64" fontId="12" fillId="9" borderId="3" xfId="0" applyNumberFormat="1" applyFont="1" applyFill="1" applyBorder="1" applyAlignment="1">
      <alignment horizontal="center" vertical="center"/>
    </xf>
    <xf numFmtId="4" fontId="13" fillId="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left" vertical="center"/>
    </xf>
    <xf numFmtId="165" fontId="8" fillId="7" borderId="6" xfId="0" applyNumberFormat="1" applyFont="1" applyFill="1" applyBorder="1" applyAlignment="1">
      <alignment horizontal="center" vertical="center"/>
    </xf>
    <xf numFmtId="165" fontId="9" fillId="6" borderId="3" xfId="0" applyNumberFormat="1" applyFont="1" applyFill="1" applyBorder="1" applyAlignment="1">
      <alignment horizontal="center" vertical="center"/>
    </xf>
    <xf numFmtId="165" fontId="17" fillId="9" borderId="3" xfId="0" applyNumberFormat="1" applyFont="1" applyFill="1" applyBorder="1" applyAlignment="1">
      <alignment horizontal="center" vertical="center"/>
    </xf>
    <xf numFmtId="165" fontId="13" fillId="8" borderId="7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/>
    </xf>
    <xf numFmtId="165" fontId="9" fillId="8" borderId="3" xfId="0" applyNumberFormat="1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left" vertical="center"/>
    </xf>
    <xf numFmtId="165" fontId="8" fillId="7" borderId="7" xfId="0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23" fillId="6" borderId="0" xfId="0" applyFont="1" applyFill="1" applyAlignment="1">
      <alignment horizontal="left" vertical="center"/>
    </xf>
    <xf numFmtId="0" fontId="24" fillId="6" borderId="0" xfId="0" applyFont="1" applyFill="1" applyAlignment="1">
      <alignment horizontal="left" vertical="center"/>
    </xf>
    <xf numFmtId="0" fontId="24" fillId="14" borderId="0" xfId="0" applyFont="1" applyFill="1" applyAlignment="1">
      <alignment horizontal="left" vertical="center"/>
    </xf>
    <xf numFmtId="4" fontId="25" fillId="15" borderId="4" xfId="0" applyNumberFormat="1" applyFont="1" applyFill="1" applyBorder="1" applyAlignment="1">
      <alignment horizontal="center" vertical="center"/>
    </xf>
    <xf numFmtId="0" fontId="25" fillId="15" borderId="6" xfId="0" applyFont="1" applyFill="1" applyBorder="1" applyAlignment="1">
      <alignment horizontal="center" vertical="center"/>
    </xf>
    <xf numFmtId="0" fontId="25" fillId="15" borderId="7" xfId="0" applyFont="1" applyFill="1" applyBorder="1" applyAlignment="1">
      <alignment horizontal="center" vertical="center"/>
    </xf>
    <xf numFmtId="0" fontId="19" fillId="1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3" fillId="12" borderId="8" xfId="0" applyFont="1" applyFill="1" applyBorder="1" applyAlignment="1">
      <alignment horizontal="left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11" fillId="3" borderId="3" xfId="0" applyFont="1" applyFill="1" applyBorder="1" applyAlignment="1">
      <alignment horizontal="right" vertical="center"/>
    </xf>
    <xf numFmtId="0" fontId="3" fillId="10" borderId="5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b/>
        <color rgb="FF27500A"/>
        <name val="Calibri"/>
      </font>
      <fill>
        <patternFill patternType="solid">
          <fgColor rgb="FFC6EFCE"/>
        </patternFill>
      </fill>
    </dxf>
    <dxf>
      <font>
        <b/>
        <color rgb="FF9C0006"/>
        <name val="Calibri"/>
      </font>
      <fill>
        <patternFill patternType="solid">
          <fgColor rgb="FFFFE0E0"/>
        </patternFill>
      </fill>
    </dxf>
    <dxf>
      <font>
        <b/>
        <color rgb="FF27500A"/>
        <name val="Calibri"/>
      </font>
      <fill>
        <patternFill patternType="solid">
          <fgColor rgb="FFC6EFCE"/>
        </patternFill>
      </fill>
    </dxf>
    <dxf>
      <font>
        <b/>
        <color rgb="FF9C0006"/>
        <name val="Calibri"/>
      </font>
      <fill>
        <patternFill patternType="solid">
          <fgColor rgb="FFFFE0E0"/>
        </patternFill>
      </fill>
    </dxf>
    <dxf>
      <font>
        <b/>
        <sz val="12"/>
        <color rgb="FF276221"/>
        <name val="Calibri"/>
      </font>
      <fill>
        <patternFill patternType="solid">
          <fgColor rgb="FFC6EFCE"/>
        </patternFill>
      </fill>
    </dxf>
    <dxf>
      <font>
        <b/>
        <sz val="12"/>
        <color rgb="FF276221"/>
        <name val="Calibri"/>
      </font>
      <fill>
        <patternFill patternType="solid">
          <fgColor rgb="FFC6EFCE"/>
        </patternFill>
      </fill>
    </dxf>
    <dxf>
      <font>
        <b/>
        <sz val="12"/>
        <color rgb="FF276221"/>
        <name val="Calibri"/>
      </font>
      <fill>
        <patternFill patternType="solid">
          <fgColor rgb="FFC6EFCE"/>
        </patternFill>
      </fill>
    </dxf>
    <dxf>
      <font>
        <b/>
        <sz val="12"/>
        <color rgb="FF276221"/>
        <name val="Calibri"/>
      </font>
      <fill>
        <patternFill patternType="solid">
          <fgColor rgb="FFC6EFCE"/>
        </patternFill>
      </fill>
    </dxf>
    <dxf>
      <font>
        <b/>
        <sz val="12"/>
        <color rgb="FF276221"/>
        <name val="Calibri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G48"/>
  <sheetViews>
    <sheetView showGridLines="0" tabSelected="1" workbookViewId="0">
      <pane ySplit="6" topLeftCell="A7" activePane="bottomLeft" state="frozen"/>
      <selection pane="bottomLeft" activeCell="C7" sqref="C7"/>
    </sheetView>
  </sheetViews>
  <sheetFormatPr defaultRowHeight="15" x14ac:dyDescent="0.25"/>
  <cols>
    <col min="1" max="1" width="9" customWidth="1"/>
    <col min="2" max="2" width="24" customWidth="1"/>
    <col min="3" max="3" width="16" customWidth="1"/>
    <col min="4" max="4" width="12" customWidth="1"/>
    <col min="5" max="6" width="16" customWidth="1"/>
    <col min="7" max="7" width="14" customWidth="1"/>
  </cols>
  <sheetData>
    <row r="1" spans="1:7" ht="8.1" customHeight="1" x14ac:dyDescent="0.25">
      <c r="A1" s="42"/>
      <c r="B1" s="38"/>
      <c r="C1" s="38"/>
      <c r="D1" s="38"/>
      <c r="E1" s="38"/>
      <c r="F1" s="38"/>
      <c r="G1" s="38"/>
    </row>
    <row r="2" spans="1:7" ht="44.1" customHeight="1" x14ac:dyDescent="0.25">
      <c r="A2" s="39" t="s">
        <v>0</v>
      </c>
      <c r="B2" s="38"/>
      <c r="C2" s="38"/>
      <c r="D2" s="38"/>
      <c r="E2" s="38"/>
      <c r="F2" s="38"/>
      <c r="G2" s="38"/>
    </row>
    <row r="3" spans="1:7" ht="20.100000000000001" customHeight="1" x14ac:dyDescent="0.25">
      <c r="A3" s="43" t="s">
        <v>1</v>
      </c>
      <c r="B3" s="38"/>
      <c r="C3" s="38"/>
      <c r="D3" s="38"/>
      <c r="E3" s="38"/>
      <c r="F3" s="38"/>
      <c r="G3" s="38"/>
    </row>
    <row r="4" spans="1:7" ht="26.1" customHeight="1" x14ac:dyDescent="0.25">
      <c r="A4" s="47" t="s">
        <v>2</v>
      </c>
      <c r="B4" s="38"/>
      <c r="C4" s="38"/>
      <c r="D4" s="38"/>
      <c r="E4" s="38"/>
      <c r="F4" s="38"/>
      <c r="G4" s="38"/>
    </row>
    <row r="5" spans="1:7" ht="27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/>
      <c r="G5" s="1" t="s">
        <v>8</v>
      </c>
    </row>
    <row r="6" spans="1:7" ht="20.100000000000001" customHeight="1" thickBot="1" x14ac:dyDescent="0.3">
      <c r="A6" s="44" t="s">
        <v>9</v>
      </c>
      <c r="B6" s="38"/>
      <c r="C6" s="38"/>
      <c r="D6" s="38"/>
      <c r="E6" s="38"/>
      <c r="F6" s="38"/>
      <c r="G6" s="38"/>
    </row>
    <row r="7" spans="1:7" ht="21.95" customHeight="1" thickBot="1" x14ac:dyDescent="0.3">
      <c r="A7" s="2" t="s">
        <v>10</v>
      </c>
      <c r="B7" s="3" t="s">
        <v>11</v>
      </c>
      <c r="C7" s="34">
        <v>4523</v>
      </c>
      <c r="D7" s="5"/>
      <c r="E7" s="5"/>
      <c r="F7" s="6"/>
      <c r="G7" s="7" t="str">
        <f t="shared" ref="G7:G18" si="0">IF(C7&lt;&gt;"","✓ OK","– missing")</f>
        <v>✓ OK</v>
      </c>
    </row>
    <row r="8" spans="1:7" ht="21.95" customHeight="1" thickBot="1" x14ac:dyDescent="0.3">
      <c r="A8" s="2" t="s">
        <v>12</v>
      </c>
      <c r="B8" s="8" t="s">
        <v>13</v>
      </c>
      <c r="C8" s="34">
        <v>4570</v>
      </c>
      <c r="D8" s="9"/>
      <c r="E8" s="9"/>
      <c r="F8" s="10"/>
      <c r="G8" s="11" t="str">
        <f t="shared" si="0"/>
        <v>✓ OK</v>
      </c>
    </row>
    <row r="9" spans="1:7" ht="21.95" customHeight="1" thickBot="1" x14ac:dyDescent="0.3">
      <c r="A9" s="2" t="s">
        <v>14</v>
      </c>
      <c r="B9" s="3" t="s">
        <v>15</v>
      </c>
      <c r="C9" s="34">
        <v>4599</v>
      </c>
      <c r="D9" s="5"/>
      <c r="E9" s="5"/>
      <c r="F9" s="6"/>
      <c r="G9" s="7" t="str">
        <f t="shared" si="0"/>
        <v>✓ OK</v>
      </c>
    </row>
    <row r="10" spans="1:7" ht="21.95" customHeight="1" thickBot="1" x14ac:dyDescent="0.3">
      <c r="A10" s="2" t="s">
        <v>16</v>
      </c>
      <c r="B10" s="8" t="s">
        <v>17</v>
      </c>
      <c r="C10" s="34">
        <v>4610.5</v>
      </c>
      <c r="D10" s="9"/>
      <c r="E10" s="9"/>
      <c r="F10" s="10"/>
      <c r="G10" s="11" t="str">
        <f t="shared" si="0"/>
        <v>✓ OK</v>
      </c>
    </row>
    <row r="11" spans="1:7" ht="21.95" customHeight="1" thickBot="1" x14ac:dyDescent="0.3">
      <c r="A11" s="2" t="s">
        <v>18</v>
      </c>
      <c r="B11" s="3" t="s">
        <v>19</v>
      </c>
      <c r="C11" s="34">
        <v>4610</v>
      </c>
      <c r="D11" s="5"/>
      <c r="E11" s="5"/>
      <c r="F11" s="6"/>
      <c r="G11" s="7" t="str">
        <f t="shared" si="0"/>
        <v>✓ OK</v>
      </c>
    </row>
    <row r="12" spans="1:7" ht="21.95" customHeight="1" thickBot="1" x14ac:dyDescent="0.3">
      <c r="A12" s="2" t="s">
        <v>20</v>
      </c>
      <c r="B12" s="8" t="s">
        <v>21</v>
      </c>
      <c r="C12" s="34">
        <v>4599.5</v>
      </c>
      <c r="D12" s="9"/>
      <c r="E12" s="9"/>
      <c r="F12" s="10"/>
      <c r="G12" s="11" t="str">
        <f t="shared" si="0"/>
        <v>✓ OK</v>
      </c>
    </row>
    <row r="13" spans="1:7" ht="21.95" customHeight="1" thickBot="1" x14ac:dyDescent="0.3">
      <c r="A13" s="2" t="s">
        <v>22</v>
      </c>
      <c r="B13" s="3" t="s">
        <v>23</v>
      </c>
      <c r="C13" s="34">
        <v>4585.5</v>
      </c>
      <c r="D13" s="5"/>
      <c r="E13" s="5"/>
      <c r="F13" s="6"/>
      <c r="G13" s="7" t="str">
        <f t="shared" si="0"/>
        <v>✓ OK</v>
      </c>
    </row>
    <row r="14" spans="1:7" ht="21.95" customHeight="1" thickBot="1" x14ac:dyDescent="0.3">
      <c r="A14" s="2" t="s">
        <v>24</v>
      </c>
      <c r="B14" s="8" t="s">
        <v>25</v>
      </c>
      <c r="C14" s="34">
        <v>4573.5</v>
      </c>
      <c r="D14" s="9"/>
      <c r="E14" s="9"/>
      <c r="F14" s="10"/>
      <c r="G14" s="11" t="str">
        <f t="shared" si="0"/>
        <v>✓ OK</v>
      </c>
    </row>
    <row r="15" spans="1:7" ht="21.95" customHeight="1" thickBot="1" x14ac:dyDescent="0.3">
      <c r="A15" s="2" t="s">
        <v>26</v>
      </c>
      <c r="B15" s="3" t="s">
        <v>27</v>
      </c>
      <c r="C15" s="34">
        <v>4564.5</v>
      </c>
      <c r="D15" s="5"/>
      <c r="E15" s="5"/>
      <c r="F15" s="6"/>
      <c r="G15" s="7" t="str">
        <f t="shared" si="0"/>
        <v>✓ OK</v>
      </c>
    </row>
    <row r="16" spans="1:7" ht="21.95" customHeight="1" thickBot="1" x14ac:dyDescent="0.3">
      <c r="A16" s="2" t="s">
        <v>28</v>
      </c>
      <c r="B16" s="8" t="s">
        <v>29</v>
      </c>
      <c r="C16" s="34">
        <v>4556.5</v>
      </c>
      <c r="D16" s="9"/>
      <c r="E16" s="9"/>
      <c r="F16" s="10"/>
      <c r="G16" s="11" t="str">
        <f t="shared" si="0"/>
        <v>✓ OK</v>
      </c>
    </row>
    <row r="17" spans="1:7" ht="21.95" customHeight="1" thickBot="1" x14ac:dyDescent="0.3">
      <c r="A17" s="2" t="s">
        <v>30</v>
      </c>
      <c r="B17" s="3" t="s">
        <v>31</v>
      </c>
      <c r="C17" s="34">
        <v>4545.5</v>
      </c>
      <c r="D17" s="5"/>
      <c r="E17" s="5"/>
      <c r="F17" s="6"/>
      <c r="G17" s="7" t="str">
        <f t="shared" si="0"/>
        <v>✓ OK</v>
      </c>
    </row>
    <row r="18" spans="1:7" ht="21.95" customHeight="1" thickBot="1" x14ac:dyDescent="0.3">
      <c r="A18" s="2" t="s">
        <v>32</v>
      </c>
      <c r="B18" s="8" t="s">
        <v>33</v>
      </c>
      <c r="C18" s="4"/>
      <c r="D18" s="9"/>
      <c r="E18" s="9"/>
      <c r="F18" s="10"/>
      <c r="G18" s="11" t="str">
        <f t="shared" si="0"/>
        <v>– missing</v>
      </c>
    </row>
    <row r="19" spans="1:7" ht="21.95" customHeight="1" x14ac:dyDescent="0.25">
      <c r="A19" s="45" t="s">
        <v>34</v>
      </c>
      <c r="B19" s="38"/>
      <c r="C19" s="12">
        <f>COUNTA(C7:C18)</f>
        <v>11</v>
      </c>
      <c r="D19" s="45" t="s">
        <v>35</v>
      </c>
      <c r="E19" s="38"/>
      <c r="F19" s="13">
        <f>IF(C7&lt;&gt;"",C7,"—")</f>
        <v>4523</v>
      </c>
      <c r="G19" s="6"/>
    </row>
    <row r="20" spans="1:7" ht="9.9499999999999993" customHeight="1" x14ac:dyDescent="0.25">
      <c r="A20" s="38"/>
      <c r="B20" s="38"/>
      <c r="C20" s="38"/>
      <c r="D20" s="38"/>
      <c r="E20" s="38"/>
      <c r="F20" s="38"/>
      <c r="G20" s="38"/>
    </row>
    <row r="21" spans="1:7" ht="26.1" customHeight="1" x14ac:dyDescent="0.25">
      <c r="A21" s="46" t="s">
        <v>36</v>
      </c>
      <c r="B21" s="38"/>
      <c r="C21" s="38"/>
      <c r="D21" s="38"/>
      <c r="E21" s="38"/>
      <c r="F21" s="38"/>
      <c r="G21" s="38"/>
    </row>
    <row r="22" spans="1:7" ht="27.95" customHeight="1" x14ac:dyDescent="0.25">
      <c r="A22" s="14" t="s">
        <v>37</v>
      </c>
      <c r="B22" s="14" t="s">
        <v>38</v>
      </c>
      <c r="C22" s="14" t="s">
        <v>39</v>
      </c>
      <c r="D22" s="14" t="s">
        <v>6</v>
      </c>
      <c r="E22" s="14" t="s">
        <v>40</v>
      </c>
      <c r="F22" s="14" t="s">
        <v>41</v>
      </c>
      <c r="G22" s="14" t="s">
        <v>42</v>
      </c>
    </row>
    <row r="23" spans="1:7" ht="20.100000000000001" customHeight="1" thickBot="1" x14ac:dyDescent="0.3">
      <c r="A23" s="40" t="s">
        <v>43</v>
      </c>
      <c r="B23" s="38"/>
      <c r="C23" s="38"/>
      <c r="D23" s="38"/>
      <c r="E23" s="38"/>
      <c r="F23" s="38"/>
      <c r="G23" s="38"/>
    </row>
    <row r="24" spans="1:7" ht="21.95" customHeight="1" thickBot="1" x14ac:dyDescent="0.3">
      <c r="A24" s="15" t="s">
        <v>44</v>
      </c>
      <c r="B24" s="16" t="s">
        <v>45</v>
      </c>
      <c r="C24" s="35">
        <v>-46.5</v>
      </c>
      <c r="D24" s="18"/>
      <c r="E24" s="19">
        <f t="shared" ref="E24:E34" si="1">IF(AND(C7&lt;&gt;"",C8&lt;&gt;""),C7-C8,"—")</f>
        <v>-47</v>
      </c>
      <c r="F24" s="20">
        <f t="shared" ref="F24:F34" si="2">IF(AND(C24&lt;&gt;"",E24&lt;&gt;""),C24-E24,"—")</f>
        <v>0.5</v>
      </c>
      <c r="G24" s="21" t="str">
        <f t="shared" ref="G24:G34" si="3">IF(F24="—","—",IF(F24&gt;5,"▲ RICH",IF(F24&lt;-5,"▼ CHEAP",IF(ABS(F24)&gt;2,IF(F24&gt;0,"↑ sl. rich","↓ sl. cheap"),"≈ fair"))))</f>
        <v>≈ fair</v>
      </c>
    </row>
    <row r="25" spans="1:7" ht="21.95" customHeight="1" thickBot="1" x14ac:dyDescent="0.3">
      <c r="A25" s="15" t="s">
        <v>46</v>
      </c>
      <c r="B25" s="22" t="s">
        <v>47</v>
      </c>
      <c r="C25" s="35">
        <v>-29.5</v>
      </c>
      <c r="D25" s="23"/>
      <c r="E25" s="19">
        <f t="shared" si="1"/>
        <v>-29</v>
      </c>
      <c r="F25" s="20">
        <f t="shared" si="2"/>
        <v>-0.5</v>
      </c>
      <c r="G25" s="24" t="str">
        <f t="shared" si="3"/>
        <v>≈ fair</v>
      </c>
    </row>
    <row r="26" spans="1:7" ht="21.95" customHeight="1" thickBot="1" x14ac:dyDescent="0.3">
      <c r="A26" s="15" t="s">
        <v>48</v>
      </c>
      <c r="B26" s="16" t="s">
        <v>49</v>
      </c>
      <c r="C26" s="35">
        <v>-11.5</v>
      </c>
      <c r="D26" s="18"/>
      <c r="E26" s="19">
        <f t="shared" si="1"/>
        <v>-11.5</v>
      </c>
      <c r="F26" s="20">
        <f t="shared" si="2"/>
        <v>0</v>
      </c>
      <c r="G26" s="21" t="str">
        <f t="shared" si="3"/>
        <v>≈ fair</v>
      </c>
    </row>
    <row r="27" spans="1:7" ht="21.95" customHeight="1" thickBot="1" x14ac:dyDescent="0.3">
      <c r="A27" s="15" t="s">
        <v>50</v>
      </c>
      <c r="B27" s="22" t="s">
        <v>51</v>
      </c>
      <c r="C27" s="35">
        <v>1.5</v>
      </c>
      <c r="D27" s="23"/>
      <c r="E27" s="19">
        <f t="shared" si="1"/>
        <v>0.5</v>
      </c>
      <c r="F27" s="20">
        <f t="shared" si="2"/>
        <v>1</v>
      </c>
      <c r="G27" s="24" t="str">
        <f t="shared" si="3"/>
        <v>≈ fair</v>
      </c>
    </row>
    <row r="28" spans="1:7" ht="21.95" customHeight="1" thickBot="1" x14ac:dyDescent="0.3">
      <c r="A28" s="15" t="s">
        <v>52</v>
      </c>
      <c r="B28" s="16" t="s">
        <v>53</v>
      </c>
      <c r="C28" s="35">
        <v>10.5</v>
      </c>
      <c r="D28" s="18"/>
      <c r="E28" s="19">
        <f t="shared" si="1"/>
        <v>10.5</v>
      </c>
      <c r="F28" s="20">
        <f t="shared" si="2"/>
        <v>0</v>
      </c>
      <c r="G28" s="21" t="str">
        <f t="shared" si="3"/>
        <v>≈ fair</v>
      </c>
    </row>
    <row r="29" spans="1:7" ht="21.95" customHeight="1" thickBot="1" x14ac:dyDescent="0.3">
      <c r="A29" s="15" t="s">
        <v>54</v>
      </c>
      <c r="B29" s="22" t="s">
        <v>55</v>
      </c>
      <c r="C29" s="35">
        <v>14.5</v>
      </c>
      <c r="D29" s="23"/>
      <c r="E29" s="19">
        <f t="shared" si="1"/>
        <v>14</v>
      </c>
      <c r="F29" s="20">
        <f t="shared" si="2"/>
        <v>0.5</v>
      </c>
      <c r="G29" s="24" t="str">
        <f t="shared" si="3"/>
        <v>≈ fair</v>
      </c>
    </row>
    <row r="30" spans="1:7" ht="21.95" customHeight="1" thickBot="1" x14ac:dyDescent="0.3">
      <c r="A30" s="15" t="s">
        <v>56</v>
      </c>
      <c r="B30" s="16" t="s">
        <v>57</v>
      </c>
      <c r="C30" s="35">
        <v>11.5</v>
      </c>
      <c r="D30" s="18"/>
      <c r="E30" s="19">
        <f t="shared" si="1"/>
        <v>12</v>
      </c>
      <c r="F30" s="20">
        <f t="shared" si="2"/>
        <v>-0.5</v>
      </c>
      <c r="G30" s="21" t="str">
        <f t="shared" si="3"/>
        <v>≈ fair</v>
      </c>
    </row>
    <row r="31" spans="1:7" ht="21.95" customHeight="1" thickBot="1" x14ac:dyDescent="0.3">
      <c r="A31" s="15" t="s">
        <v>58</v>
      </c>
      <c r="B31" s="22" t="s">
        <v>59</v>
      </c>
      <c r="C31" s="35">
        <v>9.5</v>
      </c>
      <c r="D31" s="23"/>
      <c r="E31" s="19">
        <f t="shared" si="1"/>
        <v>9</v>
      </c>
      <c r="F31" s="20">
        <f t="shared" si="2"/>
        <v>0.5</v>
      </c>
      <c r="G31" s="24" t="str">
        <f t="shared" si="3"/>
        <v>≈ fair</v>
      </c>
    </row>
    <row r="32" spans="1:7" ht="21.95" customHeight="1" thickBot="1" x14ac:dyDescent="0.3">
      <c r="A32" s="15" t="s">
        <v>60</v>
      </c>
      <c r="B32" s="16" t="s">
        <v>61</v>
      </c>
      <c r="C32" s="35">
        <v>9</v>
      </c>
      <c r="D32" s="18"/>
      <c r="E32" s="19">
        <f t="shared" si="1"/>
        <v>8</v>
      </c>
      <c r="F32" s="20">
        <f t="shared" si="2"/>
        <v>1</v>
      </c>
      <c r="G32" s="21" t="str">
        <f t="shared" si="3"/>
        <v>≈ fair</v>
      </c>
    </row>
    <row r="33" spans="1:7" ht="21.95" customHeight="1" thickBot="1" x14ac:dyDescent="0.3">
      <c r="A33" s="15" t="s">
        <v>62</v>
      </c>
      <c r="B33" s="22" t="s">
        <v>63</v>
      </c>
      <c r="C33" s="35">
        <v>10.5</v>
      </c>
      <c r="D33" s="23"/>
      <c r="E33" s="19">
        <f t="shared" si="1"/>
        <v>11</v>
      </c>
      <c r="F33" s="20">
        <f t="shared" si="2"/>
        <v>-0.5</v>
      </c>
      <c r="G33" s="24" t="str">
        <f t="shared" si="3"/>
        <v>≈ fair</v>
      </c>
    </row>
    <row r="34" spans="1:7" ht="21.95" customHeight="1" thickBot="1" x14ac:dyDescent="0.3">
      <c r="A34" s="15" t="s">
        <v>64</v>
      </c>
      <c r="B34" s="16" t="s">
        <v>65</v>
      </c>
      <c r="C34" s="17"/>
      <c r="D34" s="18"/>
      <c r="E34" s="19" t="str">
        <f t="shared" si="1"/>
        <v>—</v>
      </c>
      <c r="F34" s="20" t="str">
        <f t="shared" si="2"/>
        <v>—</v>
      </c>
      <c r="G34" s="21" t="str">
        <f t="shared" si="3"/>
        <v>—</v>
      </c>
    </row>
    <row r="35" spans="1:7" ht="9.9499999999999993" customHeight="1" x14ac:dyDescent="0.25">
      <c r="A35" s="38"/>
      <c r="B35" s="38"/>
      <c r="C35" s="38"/>
      <c r="D35" s="38"/>
      <c r="E35" s="38"/>
      <c r="F35" s="38"/>
      <c r="G35" s="38"/>
    </row>
    <row r="36" spans="1:7" ht="26.1" customHeight="1" x14ac:dyDescent="0.25">
      <c r="A36" s="41" t="s">
        <v>66</v>
      </c>
      <c r="B36" s="38"/>
      <c r="C36" s="38"/>
      <c r="D36" s="38"/>
      <c r="E36" s="38"/>
      <c r="F36" s="38"/>
      <c r="G36" s="38"/>
    </row>
    <row r="37" spans="1:7" ht="27.95" customHeight="1" x14ac:dyDescent="0.25">
      <c r="A37" s="25" t="s">
        <v>67</v>
      </c>
      <c r="B37" s="25" t="s">
        <v>68</v>
      </c>
      <c r="C37" s="25" t="s">
        <v>39</v>
      </c>
      <c r="D37" s="25" t="s">
        <v>6</v>
      </c>
      <c r="E37" s="25" t="s">
        <v>69</v>
      </c>
      <c r="F37" s="25" t="s">
        <v>41</v>
      </c>
      <c r="G37" s="25" t="s">
        <v>42</v>
      </c>
    </row>
    <row r="38" spans="1:7" ht="20.100000000000001" customHeight="1" thickBot="1" x14ac:dyDescent="0.3">
      <c r="A38" s="37" t="s">
        <v>70</v>
      </c>
      <c r="B38" s="38"/>
      <c r="C38" s="38"/>
      <c r="D38" s="38"/>
      <c r="E38" s="38"/>
      <c r="F38" s="38"/>
      <c r="G38" s="38"/>
    </row>
    <row r="39" spans="1:7" ht="21.95" customHeight="1" thickBot="1" x14ac:dyDescent="0.3">
      <c r="A39" s="26" t="s">
        <v>71</v>
      </c>
      <c r="B39" s="27" t="s">
        <v>72</v>
      </c>
      <c r="C39" s="36">
        <v>-17.5</v>
      </c>
      <c r="D39" s="18"/>
      <c r="E39" s="19">
        <f t="shared" ref="E39:E48" si="4">IF(AND(C7&lt;&gt;"",C8&lt;&gt;"",C9&lt;&gt;""),C8-0.5*(C7+C9),"—")</f>
        <v>9</v>
      </c>
      <c r="F39" s="20">
        <f t="shared" ref="F39:F48" si="5">IF(AND(C39&lt;&gt;"",E39&lt;&gt;""),C39-E39,"—")</f>
        <v>-26.5</v>
      </c>
      <c r="G39" s="21" t="str">
        <f t="shared" ref="G39:G48" si="6">IF(F39="—","—",IF(F39&gt;3,"▲ RICH",IF(F39&lt;-3,"▼ CHEAP",IF(ABS(F39)&gt;1,IF(F39&gt;0,"↑ sl. rich","↓ sl. cheap"),"≈ fair"))))</f>
        <v>▼ CHEAP</v>
      </c>
    </row>
    <row r="40" spans="1:7" ht="21.95" customHeight="1" thickBot="1" x14ac:dyDescent="0.3">
      <c r="A40" s="26" t="s">
        <v>73</v>
      </c>
      <c r="B40" s="29" t="s">
        <v>74</v>
      </c>
      <c r="C40" s="36">
        <v>-17.5</v>
      </c>
      <c r="D40" s="23"/>
      <c r="E40" s="19">
        <f t="shared" si="4"/>
        <v>8.75</v>
      </c>
      <c r="F40" s="20">
        <f t="shared" si="5"/>
        <v>-26.25</v>
      </c>
      <c r="G40" s="24" t="str">
        <f t="shared" si="6"/>
        <v>▼ CHEAP</v>
      </c>
    </row>
    <row r="41" spans="1:7" ht="21.95" customHeight="1" thickBot="1" x14ac:dyDescent="0.3">
      <c r="A41" s="26" t="s">
        <v>75</v>
      </c>
      <c r="B41" s="27" t="s">
        <v>76</v>
      </c>
      <c r="C41" s="36">
        <v>-12.5</v>
      </c>
      <c r="D41" s="18"/>
      <c r="E41" s="19">
        <f t="shared" si="4"/>
        <v>6</v>
      </c>
      <c r="F41" s="20">
        <f t="shared" si="5"/>
        <v>-18.5</v>
      </c>
      <c r="G41" s="21" t="str">
        <f t="shared" si="6"/>
        <v>▼ CHEAP</v>
      </c>
    </row>
    <row r="42" spans="1:7" ht="21.95" customHeight="1" thickBot="1" x14ac:dyDescent="0.3">
      <c r="A42" s="26" t="s">
        <v>77</v>
      </c>
      <c r="B42" s="29" t="s">
        <v>78</v>
      </c>
      <c r="C42" s="36">
        <v>-9.5</v>
      </c>
      <c r="D42" s="23"/>
      <c r="E42" s="19">
        <f t="shared" si="4"/>
        <v>5</v>
      </c>
      <c r="F42" s="20">
        <f t="shared" si="5"/>
        <v>-14.5</v>
      </c>
      <c r="G42" s="24" t="str">
        <f t="shared" si="6"/>
        <v>▼ CHEAP</v>
      </c>
    </row>
    <row r="43" spans="1:7" ht="21.95" customHeight="1" thickBot="1" x14ac:dyDescent="0.3">
      <c r="A43" s="26" t="s">
        <v>79</v>
      </c>
      <c r="B43" s="27" t="s">
        <v>80</v>
      </c>
      <c r="C43" s="36">
        <v>-4.5</v>
      </c>
      <c r="D43" s="18"/>
      <c r="E43" s="19">
        <f t="shared" si="4"/>
        <v>1.75</v>
      </c>
      <c r="F43" s="20">
        <f t="shared" si="5"/>
        <v>-6.25</v>
      </c>
      <c r="G43" s="21" t="str">
        <f t="shared" si="6"/>
        <v>▼ CHEAP</v>
      </c>
    </row>
    <row r="44" spans="1:7" ht="21.95" customHeight="1" thickBot="1" x14ac:dyDescent="0.3">
      <c r="A44" s="26" t="s">
        <v>81</v>
      </c>
      <c r="B44" s="29" t="s">
        <v>82</v>
      </c>
      <c r="C44" s="36">
        <v>2.5</v>
      </c>
      <c r="D44" s="23"/>
      <c r="E44" s="19">
        <f t="shared" si="4"/>
        <v>-1</v>
      </c>
      <c r="F44" s="20">
        <f t="shared" si="5"/>
        <v>3.5</v>
      </c>
      <c r="G44" s="24" t="str">
        <f t="shared" si="6"/>
        <v>▲ RICH</v>
      </c>
    </row>
    <row r="45" spans="1:7" ht="21.95" customHeight="1" thickBot="1" x14ac:dyDescent="0.3">
      <c r="A45" s="26" t="s">
        <v>83</v>
      </c>
      <c r="B45" s="27" t="s">
        <v>84</v>
      </c>
      <c r="C45" s="36">
        <v>2</v>
      </c>
      <c r="D45" s="18"/>
      <c r="E45" s="19">
        <f t="shared" si="4"/>
        <v>-1.5</v>
      </c>
      <c r="F45" s="20">
        <f t="shared" si="5"/>
        <v>3.5</v>
      </c>
      <c r="G45" s="21" t="str">
        <f t="shared" si="6"/>
        <v>▲ RICH</v>
      </c>
    </row>
    <row r="46" spans="1:7" ht="21.95" customHeight="1" thickBot="1" x14ac:dyDescent="0.3">
      <c r="A46" s="26" t="s">
        <v>85</v>
      </c>
      <c r="B46" s="29" t="s">
        <v>86</v>
      </c>
      <c r="C46" s="36">
        <v>0.5</v>
      </c>
      <c r="D46" s="23"/>
      <c r="E46" s="19">
        <f t="shared" si="4"/>
        <v>-0.5</v>
      </c>
      <c r="F46" s="20">
        <f t="shared" si="5"/>
        <v>1</v>
      </c>
      <c r="G46" s="24" t="str">
        <f t="shared" si="6"/>
        <v>≈ fair</v>
      </c>
    </row>
    <row r="47" spans="1:7" ht="21.95" customHeight="1" thickBot="1" x14ac:dyDescent="0.3">
      <c r="A47" s="26" t="s">
        <v>87</v>
      </c>
      <c r="B47" s="27" t="s">
        <v>88</v>
      </c>
      <c r="C47" s="36">
        <v>-1.5</v>
      </c>
      <c r="D47" s="18"/>
      <c r="E47" s="19">
        <f t="shared" si="4"/>
        <v>1.5</v>
      </c>
      <c r="F47" s="20">
        <f t="shared" si="5"/>
        <v>-3</v>
      </c>
      <c r="G47" s="21" t="str">
        <f t="shared" si="6"/>
        <v>↓ sl. cheap</v>
      </c>
    </row>
    <row r="48" spans="1:7" ht="21.95" customHeight="1" thickBot="1" x14ac:dyDescent="0.3">
      <c r="A48" s="26" t="s">
        <v>89</v>
      </c>
      <c r="B48" s="29" t="s">
        <v>90</v>
      </c>
      <c r="C48" s="28"/>
      <c r="D48" s="23"/>
      <c r="E48" s="19" t="str">
        <f t="shared" si="4"/>
        <v>—</v>
      </c>
      <c r="F48" s="20" t="str">
        <f t="shared" si="5"/>
        <v>—</v>
      </c>
      <c r="G48" s="24" t="str">
        <f t="shared" si="6"/>
        <v>—</v>
      </c>
    </row>
  </sheetData>
  <mergeCells count="13">
    <mergeCell ref="A38:G38"/>
    <mergeCell ref="A2:G2"/>
    <mergeCell ref="A23:G23"/>
    <mergeCell ref="A36:G36"/>
    <mergeCell ref="A1:G1"/>
    <mergeCell ref="A3:G3"/>
    <mergeCell ref="A6:G6"/>
    <mergeCell ref="A19:B19"/>
    <mergeCell ref="D19:E19"/>
    <mergeCell ref="A21:G21"/>
    <mergeCell ref="A4:G4"/>
    <mergeCell ref="A35:G35"/>
    <mergeCell ref="A20:G20"/>
  </mergeCells>
  <conditionalFormatting sqref="C18">
    <cfRule type="cellIs" dxfId="8" priority="1" operator="greaterThan">
      <formula>0</formula>
    </cfRule>
  </conditionalFormatting>
  <conditionalFormatting sqref="C34">
    <cfRule type="cellIs" dxfId="7" priority="4" operator="greaterThan">
      <formula>0</formula>
    </cfRule>
    <cfRule type="cellIs" dxfId="6" priority="5" operator="lessThan">
      <formula>0</formula>
    </cfRule>
  </conditionalFormatting>
  <conditionalFormatting sqref="C48">
    <cfRule type="cellIs" dxfId="5" priority="8" operator="greaterThan">
      <formula>0</formula>
    </cfRule>
    <cfRule type="cellIs" dxfId="4" priority="9" operator="lessThan">
      <formula>0</formula>
    </cfRule>
  </conditionalFormatting>
  <conditionalFormatting sqref="F24:F34">
    <cfRule type="cellIs" dxfId="3" priority="2" operator="greaterThan">
      <formula>2</formula>
    </cfRule>
    <cfRule type="cellIs" dxfId="2" priority="3" operator="lessThan">
      <formula>-2</formula>
    </cfRule>
  </conditionalFormatting>
  <conditionalFormatting sqref="F39:F48">
    <cfRule type="cellIs" dxfId="1" priority="6" operator="greaterThan">
      <formula>1</formula>
    </cfRule>
    <cfRule type="cellIs" dxfId="0" priority="7" operator="lessThan">
      <formula>-1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D4E"/>
  </sheetPr>
  <dimension ref="A1:A99"/>
  <sheetViews>
    <sheetView showGridLines="0" workbookViewId="0"/>
  </sheetViews>
  <sheetFormatPr defaultRowHeight="15" x14ac:dyDescent="0.25"/>
  <cols>
    <col min="1" max="1" width="108" customWidth="1"/>
  </cols>
  <sheetData>
    <row r="1" spans="1:1" ht="8.1" customHeight="1" x14ac:dyDescent="0.25">
      <c r="A1" s="42"/>
    </row>
    <row r="2" spans="1:1" ht="30" customHeight="1" x14ac:dyDescent="0.25">
      <c r="A2" s="48" t="s">
        <v>91</v>
      </c>
    </row>
    <row r="3" spans="1:1" ht="15" customHeight="1" x14ac:dyDescent="0.25">
      <c r="A3" s="30" t="s">
        <v>92</v>
      </c>
    </row>
    <row r="4" spans="1:1" ht="15" customHeight="1" x14ac:dyDescent="0.25">
      <c r="A4" s="31" t="s">
        <v>93</v>
      </c>
    </row>
    <row r="5" spans="1:1" ht="15" customHeight="1" x14ac:dyDescent="0.25">
      <c r="A5" s="30" t="s">
        <v>94</v>
      </c>
    </row>
    <row r="6" spans="1:1" ht="15" customHeight="1" x14ac:dyDescent="0.25">
      <c r="A6" s="32"/>
    </row>
    <row r="7" spans="1:1" ht="15" customHeight="1" x14ac:dyDescent="0.25">
      <c r="A7" s="33" t="s">
        <v>95</v>
      </c>
    </row>
    <row r="8" spans="1:1" ht="15" customHeight="1" x14ac:dyDescent="0.25">
      <c r="A8" s="32" t="s">
        <v>96</v>
      </c>
    </row>
    <row r="9" spans="1:1" ht="15" customHeight="1" x14ac:dyDescent="0.25">
      <c r="A9" s="33" t="s">
        <v>97</v>
      </c>
    </row>
    <row r="10" spans="1:1" ht="15" customHeight="1" x14ac:dyDescent="0.25">
      <c r="A10" s="32"/>
    </row>
    <row r="11" spans="1:1" ht="15" customHeight="1" x14ac:dyDescent="0.25">
      <c r="A11" s="33" t="s">
        <v>98</v>
      </c>
    </row>
    <row r="12" spans="1:1" ht="15" customHeight="1" x14ac:dyDescent="0.25">
      <c r="A12" s="32" t="s">
        <v>99</v>
      </c>
    </row>
    <row r="13" spans="1:1" ht="15" customHeight="1" x14ac:dyDescent="0.25">
      <c r="A13" s="33" t="s">
        <v>100</v>
      </c>
    </row>
    <row r="14" spans="1:1" ht="15" customHeight="1" x14ac:dyDescent="0.25">
      <c r="A14" s="32" t="s">
        <v>101</v>
      </c>
    </row>
    <row r="15" spans="1:1" ht="15" customHeight="1" x14ac:dyDescent="0.25">
      <c r="A15" s="33" t="s">
        <v>102</v>
      </c>
    </row>
    <row r="16" spans="1:1" ht="15" customHeight="1" x14ac:dyDescent="0.25">
      <c r="A16" s="32" t="s">
        <v>103</v>
      </c>
    </row>
    <row r="17" spans="1:1" ht="15" customHeight="1" x14ac:dyDescent="0.25">
      <c r="A17" s="33"/>
    </row>
    <row r="18" spans="1:1" ht="15" customHeight="1" x14ac:dyDescent="0.25">
      <c r="A18" s="32"/>
    </row>
    <row r="19" spans="1:1" ht="15" customHeight="1" x14ac:dyDescent="0.25">
      <c r="A19" s="33" t="s">
        <v>104</v>
      </c>
    </row>
    <row r="20" spans="1:1" ht="15" customHeight="1" x14ac:dyDescent="0.25">
      <c r="A20" s="32" t="s">
        <v>105</v>
      </c>
    </row>
    <row r="21" spans="1:1" ht="15" customHeight="1" x14ac:dyDescent="0.25">
      <c r="A21" s="33" t="s">
        <v>106</v>
      </c>
    </row>
    <row r="22" spans="1:1" ht="15" customHeight="1" x14ac:dyDescent="0.25">
      <c r="A22" s="32" t="s">
        <v>107</v>
      </c>
    </row>
    <row r="23" spans="1:1" ht="15" customHeight="1" x14ac:dyDescent="0.25">
      <c r="A23" s="33" t="s">
        <v>108</v>
      </c>
    </row>
    <row r="24" spans="1:1" ht="15" customHeight="1" x14ac:dyDescent="0.25">
      <c r="A24" s="32" t="s">
        <v>109</v>
      </c>
    </row>
    <row r="25" spans="1:1" ht="15" customHeight="1" x14ac:dyDescent="0.25">
      <c r="A25" s="33" t="s">
        <v>110</v>
      </c>
    </row>
    <row r="26" spans="1:1" ht="15" customHeight="1" x14ac:dyDescent="0.25">
      <c r="A26" s="32"/>
    </row>
    <row r="27" spans="1:1" ht="15" customHeight="1" x14ac:dyDescent="0.25">
      <c r="A27" s="33"/>
    </row>
    <row r="28" spans="1:1" ht="15" customHeight="1" x14ac:dyDescent="0.25">
      <c r="A28" s="32" t="s">
        <v>111</v>
      </c>
    </row>
    <row r="29" spans="1:1" ht="15" customHeight="1" x14ac:dyDescent="0.25">
      <c r="A29" s="33" t="s">
        <v>112</v>
      </c>
    </row>
    <row r="30" spans="1:1" ht="15" customHeight="1" x14ac:dyDescent="0.25">
      <c r="A30" s="32" t="s">
        <v>113</v>
      </c>
    </row>
    <row r="31" spans="1:1" ht="15" customHeight="1" x14ac:dyDescent="0.25">
      <c r="A31" s="33" t="s">
        <v>114</v>
      </c>
    </row>
    <row r="32" spans="1:1" ht="15" customHeight="1" x14ac:dyDescent="0.25">
      <c r="A32" s="32" t="s">
        <v>115</v>
      </c>
    </row>
    <row r="33" spans="1:1" ht="15" customHeight="1" x14ac:dyDescent="0.25">
      <c r="A33" s="33" t="s">
        <v>116</v>
      </c>
    </row>
    <row r="34" spans="1:1" ht="15" customHeight="1" x14ac:dyDescent="0.25">
      <c r="A34" s="32" t="s">
        <v>117</v>
      </c>
    </row>
    <row r="35" spans="1:1" ht="15" customHeight="1" x14ac:dyDescent="0.25">
      <c r="A35" s="33" t="s">
        <v>118</v>
      </c>
    </row>
    <row r="36" spans="1:1" ht="15" customHeight="1" x14ac:dyDescent="0.25">
      <c r="A36" s="32" t="s">
        <v>119</v>
      </c>
    </row>
    <row r="37" spans="1:1" ht="15" customHeight="1" x14ac:dyDescent="0.25">
      <c r="A37" s="33" t="s">
        <v>112</v>
      </c>
    </row>
    <row r="38" spans="1:1" ht="15" customHeight="1" x14ac:dyDescent="0.25">
      <c r="A38" s="32" t="s">
        <v>120</v>
      </c>
    </row>
    <row r="39" spans="1:1" ht="15" customHeight="1" x14ac:dyDescent="0.25">
      <c r="A39" s="33" t="s">
        <v>121</v>
      </c>
    </row>
    <row r="40" spans="1:1" ht="15" customHeight="1" x14ac:dyDescent="0.25">
      <c r="A40" s="32" t="s">
        <v>122</v>
      </c>
    </row>
    <row r="41" spans="1:1" ht="15" customHeight="1" x14ac:dyDescent="0.25">
      <c r="A41" s="33" t="s">
        <v>123</v>
      </c>
    </row>
    <row r="42" spans="1:1" ht="15" customHeight="1" x14ac:dyDescent="0.25">
      <c r="A42" s="32" t="s">
        <v>124</v>
      </c>
    </row>
    <row r="43" spans="1:1" ht="15" customHeight="1" x14ac:dyDescent="0.25">
      <c r="A43" s="33" t="s">
        <v>125</v>
      </c>
    </row>
    <row r="44" spans="1:1" ht="15" customHeight="1" x14ac:dyDescent="0.25">
      <c r="A44" s="32" t="s">
        <v>126</v>
      </c>
    </row>
    <row r="45" spans="1:1" ht="15" customHeight="1" x14ac:dyDescent="0.25">
      <c r="A45" s="33" t="s">
        <v>127</v>
      </c>
    </row>
    <row r="46" spans="1:1" ht="15" customHeight="1" x14ac:dyDescent="0.25">
      <c r="A46" s="32" t="s">
        <v>128</v>
      </c>
    </row>
    <row r="47" spans="1:1" ht="15" customHeight="1" x14ac:dyDescent="0.25">
      <c r="A47" s="33" t="s">
        <v>129</v>
      </c>
    </row>
    <row r="48" spans="1:1" ht="15" customHeight="1" x14ac:dyDescent="0.25">
      <c r="A48" s="32" t="s">
        <v>130</v>
      </c>
    </row>
    <row r="49" spans="1:1" ht="15" customHeight="1" x14ac:dyDescent="0.25">
      <c r="A49" s="33" t="s">
        <v>131</v>
      </c>
    </row>
    <row r="50" spans="1:1" ht="15" customHeight="1" x14ac:dyDescent="0.25">
      <c r="A50" s="32" t="s">
        <v>132</v>
      </c>
    </row>
    <row r="51" spans="1:1" ht="15" customHeight="1" x14ac:dyDescent="0.25">
      <c r="A51" s="33" t="s">
        <v>133</v>
      </c>
    </row>
    <row r="52" spans="1:1" ht="15" customHeight="1" x14ac:dyDescent="0.25">
      <c r="A52" s="32"/>
    </row>
    <row r="53" spans="1:1" ht="15" customHeight="1" x14ac:dyDescent="0.25">
      <c r="A53" s="33"/>
    </row>
    <row r="54" spans="1:1" ht="15" customHeight="1" x14ac:dyDescent="0.25">
      <c r="A54" s="32" t="s">
        <v>134</v>
      </c>
    </row>
    <row r="55" spans="1:1" ht="15" customHeight="1" x14ac:dyDescent="0.25">
      <c r="A55" s="33" t="s">
        <v>135</v>
      </c>
    </row>
    <row r="56" spans="1:1" ht="15" customHeight="1" x14ac:dyDescent="0.25">
      <c r="A56" s="32" t="s">
        <v>136</v>
      </c>
    </row>
    <row r="57" spans="1:1" ht="15" customHeight="1" x14ac:dyDescent="0.25">
      <c r="A57" s="33" t="s">
        <v>137</v>
      </c>
    </row>
    <row r="58" spans="1:1" ht="15" customHeight="1" x14ac:dyDescent="0.25">
      <c r="A58" s="32" t="s">
        <v>138</v>
      </c>
    </row>
    <row r="59" spans="1:1" ht="15" customHeight="1" x14ac:dyDescent="0.25">
      <c r="A59" s="33"/>
    </row>
    <row r="60" spans="1:1" ht="15" customHeight="1" x14ac:dyDescent="0.25">
      <c r="A60" s="32" t="s">
        <v>139</v>
      </c>
    </row>
    <row r="61" spans="1:1" ht="15" customHeight="1" x14ac:dyDescent="0.25">
      <c r="A61" s="33" t="s">
        <v>140</v>
      </c>
    </row>
    <row r="62" spans="1:1" ht="15" customHeight="1" x14ac:dyDescent="0.25">
      <c r="A62" s="32" t="s">
        <v>141</v>
      </c>
    </row>
    <row r="63" spans="1:1" ht="15" customHeight="1" x14ac:dyDescent="0.25">
      <c r="A63" s="33" t="s">
        <v>142</v>
      </c>
    </row>
    <row r="64" spans="1:1" ht="15" customHeight="1" x14ac:dyDescent="0.25">
      <c r="A64" s="32" t="s">
        <v>143</v>
      </c>
    </row>
    <row r="65" spans="1:1" ht="15" customHeight="1" x14ac:dyDescent="0.25">
      <c r="A65" s="33" t="s">
        <v>144</v>
      </c>
    </row>
    <row r="66" spans="1:1" ht="15" customHeight="1" x14ac:dyDescent="0.25">
      <c r="A66" s="32" t="s">
        <v>145</v>
      </c>
    </row>
    <row r="67" spans="1:1" ht="15" customHeight="1" x14ac:dyDescent="0.25">
      <c r="A67" s="33"/>
    </row>
    <row r="68" spans="1:1" ht="15" customHeight="1" x14ac:dyDescent="0.25">
      <c r="A68" s="32" t="s">
        <v>146</v>
      </c>
    </row>
    <row r="69" spans="1:1" ht="15" customHeight="1" x14ac:dyDescent="0.25">
      <c r="A69" s="33" t="s">
        <v>147</v>
      </c>
    </row>
    <row r="70" spans="1:1" ht="15" customHeight="1" x14ac:dyDescent="0.25">
      <c r="A70" s="32" t="s">
        <v>148</v>
      </c>
    </row>
    <row r="71" spans="1:1" ht="15" customHeight="1" x14ac:dyDescent="0.25">
      <c r="A71" s="33" t="s">
        <v>149</v>
      </c>
    </row>
    <row r="72" spans="1:1" ht="15" customHeight="1" x14ac:dyDescent="0.25">
      <c r="A72" s="32" t="s">
        <v>150</v>
      </c>
    </row>
    <row r="73" spans="1:1" ht="15" customHeight="1" x14ac:dyDescent="0.25">
      <c r="A73" s="33" t="s">
        <v>144</v>
      </c>
    </row>
    <row r="74" spans="1:1" ht="15" customHeight="1" x14ac:dyDescent="0.25">
      <c r="A74" s="32" t="s">
        <v>151</v>
      </c>
    </row>
    <row r="75" spans="1:1" ht="15" customHeight="1" x14ac:dyDescent="0.25">
      <c r="A75" s="33"/>
    </row>
    <row r="76" spans="1:1" ht="15" customHeight="1" x14ac:dyDescent="0.25">
      <c r="A76" s="32" t="s">
        <v>152</v>
      </c>
    </row>
    <row r="77" spans="1:1" ht="15" customHeight="1" x14ac:dyDescent="0.25">
      <c r="A77" s="33"/>
    </row>
    <row r="78" spans="1:1" ht="15" customHeight="1" x14ac:dyDescent="0.25">
      <c r="A78" s="32"/>
    </row>
    <row r="79" spans="1:1" ht="15" customHeight="1" x14ac:dyDescent="0.25">
      <c r="A79" s="33" t="s">
        <v>153</v>
      </c>
    </row>
    <row r="80" spans="1:1" ht="15" customHeight="1" x14ac:dyDescent="0.25">
      <c r="A80" s="32" t="s">
        <v>154</v>
      </c>
    </row>
    <row r="81" spans="1:1" ht="15" customHeight="1" x14ac:dyDescent="0.25">
      <c r="A81" s="33" t="s">
        <v>155</v>
      </c>
    </row>
    <row r="82" spans="1:1" ht="15" customHeight="1" x14ac:dyDescent="0.25">
      <c r="A82" s="32"/>
    </row>
    <row r="83" spans="1:1" ht="15" customHeight="1" x14ac:dyDescent="0.25">
      <c r="A83" s="33"/>
    </row>
    <row r="84" spans="1:1" ht="15" customHeight="1" x14ac:dyDescent="0.25">
      <c r="A84" s="32" t="s">
        <v>156</v>
      </c>
    </row>
    <row r="85" spans="1:1" ht="15" customHeight="1" x14ac:dyDescent="0.25">
      <c r="A85" s="33" t="s">
        <v>157</v>
      </c>
    </row>
    <row r="86" spans="1:1" ht="15" customHeight="1" x14ac:dyDescent="0.25">
      <c r="A86" s="32" t="s">
        <v>158</v>
      </c>
    </row>
    <row r="87" spans="1:1" ht="15" customHeight="1" x14ac:dyDescent="0.25">
      <c r="A87" s="33"/>
    </row>
    <row r="88" spans="1:1" ht="15" customHeight="1" x14ac:dyDescent="0.25">
      <c r="A88" s="32"/>
    </row>
    <row r="89" spans="1:1" ht="15" customHeight="1" x14ac:dyDescent="0.25">
      <c r="A89" s="33" t="s">
        <v>159</v>
      </c>
    </row>
    <row r="90" spans="1:1" ht="15" customHeight="1" x14ac:dyDescent="0.25">
      <c r="A90" s="32" t="s">
        <v>160</v>
      </c>
    </row>
    <row r="91" spans="1:1" ht="15" customHeight="1" x14ac:dyDescent="0.25">
      <c r="A91" s="33" t="s">
        <v>161</v>
      </c>
    </row>
    <row r="92" spans="1:1" ht="15" customHeight="1" x14ac:dyDescent="0.25">
      <c r="A92" s="32" t="s">
        <v>162</v>
      </c>
    </row>
    <row r="93" spans="1:1" ht="15" customHeight="1" x14ac:dyDescent="0.25">
      <c r="A93" s="33" t="s">
        <v>163</v>
      </c>
    </row>
    <row r="94" spans="1:1" ht="15" customHeight="1" x14ac:dyDescent="0.25">
      <c r="A94" s="32" t="s">
        <v>164</v>
      </c>
    </row>
    <row r="95" spans="1:1" ht="15" customHeight="1" x14ac:dyDescent="0.25">
      <c r="A95" s="33" t="s">
        <v>165</v>
      </c>
    </row>
    <row r="96" spans="1:1" ht="15" customHeight="1" x14ac:dyDescent="0.25">
      <c r="A96" s="32" t="s">
        <v>166</v>
      </c>
    </row>
    <row r="97" spans="1:1" ht="15" customHeight="1" x14ac:dyDescent="0.25">
      <c r="A97" s="33" t="s">
        <v>167</v>
      </c>
    </row>
    <row r="98" spans="1:1" ht="15" customHeight="1" x14ac:dyDescent="0.25">
      <c r="A98" s="32" t="s">
        <v>168</v>
      </c>
    </row>
    <row r="99" spans="1:1" ht="15" customHeight="1" x14ac:dyDescent="0.25">
      <c r="A99" s="33"/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 Input</vt:lpstr>
      <vt:lpstr>Python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Reyhan Xhavier</cp:lastModifiedBy>
  <dcterms:created xsi:type="dcterms:W3CDTF">2026-04-17T13:33:57Z</dcterms:created>
  <dcterms:modified xsi:type="dcterms:W3CDTF">2026-04-22T04:26:19Z</dcterms:modified>
</cp:coreProperties>
</file>